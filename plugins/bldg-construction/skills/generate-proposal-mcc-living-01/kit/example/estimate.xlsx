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montana.sharepoint.com/Shared Documents/MCC/Estimating/2026/E26040 - 28 Country Club Lane South - Briarcliff Manor/"/>
    </mc:Choice>
  </mc:AlternateContent>
  <xr:revisionPtr revIDLastSave="1551" documentId="11_3FABCA768FF119EE7E8AB0E067C74B7BD7199A23" xr6:coauthVersionLast="47" xr6:coauthVersionMax="47" xr10:uidLastSave="{9256CF31-0DB6-4721-A876-8651D53A431D}"/>
  <bookViews>
    <workbookView xWindow="-60" yWindow="0" windowWidth="32655" windowHeight="15585" firstSheet="1" activeTab="1" xr2:uid="{00000000-000D-0000-FFFF-FFFF00000000}"/>
  </bookViews>
  <sheets>
    <sheet name="Estimate" sheetId="1" r:id="rId1"/>
    <sheet name="SOV" sheetId="3" r:id="rId2"/>
    <sheet name="Notes &amp; Clarifications" sheetId="4" r:id="rId3"/>
    <sheet name="General Requirements" sheetId="7" r:id="rId4"/>
    <sheet name="Electrical Pricing Basis" sheetId="2" state="hidden" r:id="rId5"/>
    <sheet name="Estimate Review" sheetId="5" r:id="rId6"/>
    <sheet name="Quantity Basis" sheetId="6" state="hidden" r:id="rId7"/>
  </sheets>
  <definedNames>
    <definedName name="_xlnm.Print_Area" localSheetId="0">Estimate!$A$1:$K$712</definedName>
    <definedName name="_xlnm.Print_Titles" localSheetId="0">Estimate!$1:$8</definedName>
    <definedName name="_xlnm.Print_Titles" localSheetId="5">'Estimate Review'!$1:$5</definedName>
    <definedName name="_xlnm.Print_Titles" localSheetId="3">'General Requirements'!$18:$18</definedName>
    <definedName name="_xlnm.Print_Titles" localSheetId="2">'Notes &amp; Clarifications'!$1:$4</definedName>
    <definedName name="_xlnm.Print_Titles" localSheetId="1">SOV!$1:$2</definedName>
  </definedNames>
  <calcPr calcId="191029" iterateDelta="1E-4"/>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40" i="3" l="1"/>
  <c r="C22" i="7"/>
  <c r="F22" i="7" s="1"/>
  <c r="H69" i="3"/>
  <c r="I69" i="3"/>
  <c r="H70" i="3"/>
  <c r="C68" i="3"/>
  <c r="D68" i="3"/>
  <c r="H68" i="3" s="1"/>
  <c r="J68" i="3"/>
  <c r="E756" i="1"/>
  <c r="K755" i="1"/>
  <c r="J755" i="1"/>
  <c r="I755" i="1"/>
  <c r="H755" i="1"/>
  <c r="F755" i="1"/>
  <c r="F754" i="1"/>
  <c r="E758" i="1"/>
  <c r="E757" i="1"/>
  <c r="K539" i="1"/>
  <c r="J539" i="1"/>
  <c r="I539" i="1"/>
  <c r="F533" i="1"/>
  <c r="F534" i="1"/>
  <c r="F535" i="1"/>
  <c r="H535" i="1" s="1"/>
  <c r="H539" i="1" s="1"/>
  <c r="F536" i="1"/>
  <c r="F537" i="1"/>
  <c r="F538" i="1"/>
  <c r="K564" i="1"/>
  <c r="J564" i="1"/>
  <c r="I564" i="1"/>
  <c r="H564" i="1"/>
  <c r="F556" i="1"/>
  <c r="F557" i="1"/>
  <c r="F558" i="1"/>
  <c r="F559" i="1"/>
  <c r="F560" i="1"/>
  <c r="F561" i="1"/>
  <c r="F562" i="1"/>
  <c r="F563" i="1"/>
  <c r="K589" i="1"/>
  <c r="J589" i="1"/>
  <c r="I589" i="1"/>
  <c r="H589" i="1"/>
  <c r="F582" i="1"/>
  <c r="F583" i="1"/>
  <c r="F584" i="1"/>
  <c r="F585" i="1"/>
  <c r="F586" i="1"/>
  <c r="F587" i="1"/>
  <c r="F588" i="1"/>
  <c r="K600" i="1"/>
  <c r="J600" i="1"/>
  <c r="I600" i="1"/>
  <c r="H600" i="1"/>
  <c r="F597" i="1"/>
  <c r="F598" i="1"/>
  <c r="F599" i="1"/>
  <c r="K615" i="1"/>
  <c r="J615" i="1"/>
  <c r="I615" i="1"/>
  <c r="H615" i="1"/>
  <c r="F608" i="1"/>
  <c r="F609" i="1"/>
  <c r="F610" i="1"/>
  <c r="F611" i="1"/>
  <c r="F612" i="1"/>
  <c r="F613" i="1"/>
  <c r="F614" i="1"/>
  <c r="K627" i="1"/>
  <c r="J627" i="1"/>
  <c r="I627" i="1"/>
  <c r="H627" i="1"/>
  <c r="F623" i="1"/>
  <c r="F624" i="1"/>
  <c r="F625" i="1"/>
  <c r="F626" i="1"/>
  <c r="K674" i="1"/>
  <c r="J674" i="1"/>
  <c r="I674" i="1"/>
  <c r="H674" i="1"/>
  <c r="F671" i="1"/>
  <c r="F672" i="1"/>
  <c r="F673" i="1"/>
  <c r="K696" i="1"/>
  <c r="J696" i="1"/>
  <c r="I696" i="1"/>
  <c r="H696" i="1"/>
  <c r="F694" i="1"/>
  <c r="F695" i="1"/>
  <c r="K644" i="1"/>
  <c r="J644" i="1"/>
  <c r="I644" i="1"/>
  <c r="H644" i="1"/>
  <c r="F635" i="1"/>
  <c r="F636" i="1"/>
  <c r="F637" i="1"/>
  <c r="F638" i="1"/>
  <c r="F639" i="1"/>
  <c r="F640" i="1"/>
  <c r="F641" i="1"/>
  <c r="F642" i="1"/>
  <c r="F643" i="1"/>
  <c r="H501" i="1"/>
  <c r="C470" i="1"/>
  <c r="F470" i="1" s="1"/>
  <c r="H470" i="1" s="1"/>
  <c r="D31" i="3"/>
  <c r="D18" i="3"/>
  <c r="E16" i="7"/>
  <c r="D30" i="2"/>
  <c r="F349" i="1"/>
  <c r="E727" i="1"/>
  <c r="K654" i="1"/>
  <c r="J654" i="1"/>
  <c r="I654" i="1"/>
  <c r="H654" i="1"/>
  <c r="J67" i="3"/>
  <c r="J66" i="3"/>
  <c r="K746" i="1"/>
  <c r="J746" i="1"/>
  <c r="I746" i="1"/>
  <c r="H746" i="1"/>
  <c r="E744" i="1"/>
  <c r="E749" i="1"/>
  <c r="E748" i="1"/>
  <c r="K736" i="1"/>
  <c r="J736" i="1"/>
  <c r="I736" i="1"/>
  <c r="H736" i="1"/>
  <c r="E734" i="1"/>
  <c r="E739" i="1"/>
  <c r="E738" i="1"/>
  <c r="E709" i="1"/>
  <c r="E710" i="1"/>
  <c r="E711" i="1"/>
  <c r="K708" i="1"/>
  <c r="J708" i="1"/>
  <c r="I708" i="1"/>
  <c r="H708" i="1"/>
  <c r="F707" i="1"/>
  <c r="F706" i="1"/>
  <c r="F705" i="1"/>
  <c r="F55" i="7"/>
  <c r="F45" i="7"/>
  <c r="C44" i="7"/>
  <c r="F44" i="7" s="1"/>
  <c r="F43" i="7"/>
  <c r="F39" i="7"/>
  <c r="F40" i="7" s="1"/>
  <c r="F35" i="7"/>
  <c r="F34" i="7"/>
  <c r="F33" i="7"/>
  <c r="F32" i="7"/>
  <c r="F31" i="7"/>
  <c r="F29" i="7"/>
  <c r="F24" i="7"/>
  <c r="C21" i="7"/>
  <c r="F21" i="7" s="1"/>
  <c r="C20" i="7"/>
  <c r="F20" i="7" s="1"/>
  <c r="E7" i="7"/>
  <c r="J65" i="3"/>
  <c r="E729" i="1"/>
  <c r="E728" i="1"/>
  <c r="K726" i="1"/>
  <c r="J726" i="1"/>
  <c r="I726" i="1"/>
  <c r="H726" i="1"/>
  <c r="F725" i="1"/>
  <c r="F726" i="1" s="1"/>
  <c r="C65" i="3" s="1"/>
  <c r="E718" i="1"/>
  <c r="F653" i="1"/>
  <c r="H497" i="1"/>
  <c r="K497" i="1"/>
  <c r="J497" i="1"/>
  <c r="I497" i="1"/>
  <c r="J64" i="3"/>
  <c r="E720" i="1"/>
  <c r="E719" i="1"/>
  <c r="K717" i="1"/>
  <c r="J717" i="1"/>
  <c r="I717" i="1"/>
  <c r="H717" i="1"/>
  <c r="F716" i="1"/>
  <c r="F717" i="1" s="1"/>
  <c r="C64" i="3" s="1"/>
  <c r="F492" i="1"/>
  <c r="F486" i="1"/>
  <c r="F485" i="1"/>
  <c r="F496" i="1"/>
  <c r="F495" i="1"/>
  <c r="F494" i="1"/>
  <c r="D30" i="3"/>
  <c r="H362" i="1"/>
  <c r="F430" i="1"/>
  <c r="K154" i="1"/>
  <c r="H13" i="3" s="1"/>
  <c r="J154" i="1"/>
  <c r="G13" i="3" s="1"/>
  <c r="I154" i="1"/>
  <c r="F13" i="3" s="1"/>
  <c r="H154" i="1"/>
  <c r="E13" i="3" s="1"/>
  <c r="F153" i="1"/>
  <c r="F152" i="1"/>
  <c r="F151" i="1"/>
  <c r="F150" i="1"/>
  <c r="F149" i="1"/>
  <c r="F148" i="1"/>
  <c r="F147" i="1"/>
  <c r="F146" i="1"/>
  <c r="C112" i="1"/>
  <c r="C111" i="1"/>
  <c r="F32" i="1"/>
  <c r="F83" i="1"/>
  <c r="F468" i="1"/>
  <c r="H449" i="1"/>
  <c r="C572" i="1"/>
  <c r="E572" i="1"/>
  <c r="F62" i="1"/>
  <c r="F484" i="1"/>
  <c r="H484" i="1" s="1"/>
  <c r="F482" i="1"/>
  <c r="F483" i="1"/>
  <c r="H483" i="1" s="1"/>
  <c r="K513" i="1"/>
  <c r="H38" i="3" s="1"/>
  <c r="J513" i="1"/>
  <c r="G38" i="3" s="1"/>
  <c r="I513" i="1"/>
  <c r="F38" i="3" s="1"/>
  <c r="H513" i="1"/>
  <c r="E38" i="3" s="1"/>
  <c r="K183" i="1"/>
  <c r="H16" i="3" s="1"/>
  <c r="J183" i="1"/>
  <c r="G16" i="3" s="1"/>
  <c r="I183" i="1"/>
  <c r="F16" i="3" s="1"/>
  <c r="H183" i="1"/>
  <c r="E16" i="3" s="1"/>
  <c r="F182" i="1"/>
  <c r="K68" i="1"/>
  <c r="H8" i="3" s="1"/>
  <c r="J68" i="1"/>
  <c r="G8" i="3" s="1"/>
  <c r="I68" i="1"/>
  <c r="F8" i="3" s="1"/>
  <c r="H68" i="1"/>
  <c r="E8" i="3" s="1"/>
  <c r="F67" i="1"/>
  <c r="F181" i="1"/>
  <c r="F380" i="1"/>
  <c r="J63" i="3"/>
  <c r="J62" i="3"/>
  <c r="J61" i="3"/>
  <c r="J60" i="3"/>
  <c r="J59" i="3"/>
  <c r="J58" i="3"/>
  <c r="J57" i="3"/>
  <c r="J56" i="3"/>
  <c r="J55" i="3"/>
  <c r="J54" i="3"/>
  <c r="J53" i="3"/>
  <c r="J52" i="3"/>
  <c r="J51" i="3"/>
  <c r="J50" i="3"/>
  <c r="J49" i="3"/>
  <c r="B42" i="3"/>
  <c r="A42" i="3"/>
  <c r="B41" i="3"/>
  <c r="A41" i="3"/>
  <c r="A40" i="3"/>
  <c r="D51" i="2"/>
  <c r="D50" i="2"/>
  <c r="D49" i="2"/>
  <c r="D48" i="2"/>
  <c r="D44" i="2"/>
  <c r="D43" i="2"/>
  <c r="D42" i="2"/>
  <c r="D41" i="2"/>
  <c r="D40" i="2"/>
  <c r="D36" i="2"/>
  <c r="D35" i="2"/>
  <c r="D34" i="2"/>
  <c r="D33" i="2"/>
  <c r="D32" i="2"/>
  <c r="D31" i="2"/>
  <c r="D29" i="2"/>
  <c r="D28" i="2"/>
  <c r="D27" i="2"/>
  <c r="D26" i="2"/>
  <c r="D25" i="2"/>
  <c r="D24" i="2"/>
  <c r="D23" i="2"/>
  <c r="D22" i="2"/>
  <c r="D21" i="2"/>
  <c r="D20" i="2"/>
  <c r="D19" i="2"/>
  <c r="D18" i="2"/>
  <c r="D17" i="2"/>
  <c r="D16" i="2"/>
  <c r="D15" i="2"/>
  <c r="D14" i="2"/>
  <c r="D13" i="2"/>
  <c r="D12" i="2"/>
  <c r="D11" i="2"/>
  <c r="D10" i="2"/>
  <c r="D9" i="2"/>
  <c r="D8" i="2"/>
  <c r="D7" i="2"/>
  <c r="D6" i="2"/>
  <c r="F704" i="1"/>
  <c r="E699" i="1"/>
  <c r="E698" i="1"/>
  <c r="E697" i="1"/>
  <c r="E689" i="1"/>
  <c r="E688" i="1"/>
  <c r="E687" i="1"/>
  <c r="K686" i="1"/>
  <c r="J686" i="1"/>
  <c r="I686" i="1"/>
  <c r="H686" i="1"/>
  <c r="F685" i="1"/>
  <c r="F684" i="1"/>
  <c r="F683" i="1"/>
  <c r="F682" i="1"/>
  <c r="E677" i="1"/>
  <c r="E676" i="1"/>
  <c r="E675" i="1"/>
  <c r="E666" i="1"/>
  <c r="E665" i="1"/>
  <c r="E664" i="1"/>
  <c r="K663" i="1"/>
  <c r="J663" i="1"/>
  <c r="I663" i="1"/>
  <c r="H663" i="1"/>
  <c r="F662" i="1"/>
  <c r="F663" i="1" s="1"/>
  <c r="E657" i="1"/>
  <c r="E656" i="1"/>
  <c r="E655" i="1"/>
  <c r="F652" i="1"/>
  <c r="E647" i="1"/>
  <c r="E646" i="1"/>
  <c r="E645" i="1"/>
  <c r="E630" i="1"/>
  <c r="E629" i="1"/>
  <c r="E628" i="1"/>
  <c r="E618" i="1"/>
  <c r="E617" i="1"/>
  <c r="E616" i="1"/>
  <c r="E603" i="1"/>
  <c r="E602" i="1"/>
  <c r="E601" i="1"/>
  <c r="E592" i="1"/>
  <c r="E591" i="1"/>
  <c r="E590" i="1"/>
  <c r="E577" i="1"/>
  <c r="E576" i="1"/>
  <c r="E575" i="1"/>
  <c r="K574" i="1"/>
  <c r="J574" i="1"/>
  <c r="I574" i="1"/>
  <c r="H574" i="1"/>
  <c r="E567" i="1"/>
  <c r="E566" i="1"/>
  <c r="E565" i="1"/>
  <c r="E551" i="1"/>
  <c r="E550" i="1"/>
  <c r="E549" i="1"/>
  <c r="K548" i="1"/>
  <c r="J548" i="1"/>
  <c r="I548" i="1"/>
  <c r="H548" i="1"/>
  <c r="F547" i="1"/>
  <c r="F548" i="1" s="1"/>
  <c r="E542" i="1"/>
  <c r="E541" i="1"/>
  <c r="E540" i="1"/>
  <c r="F491" i="1"/>
  <c r="F493" i="1"/>
  <c r="F512" i="1"/>
  <c r="F511" i="1"/>
  <c r="F510" i="1"/>
  <c r="F509" i="1"/>
  <c r="F508" i="1"/>
  <c r="F507" i="1"/>
  <c r="K503" i="1"/>
  <c r="H37" i="3" s="1"/>
  <c r="J503" i="1"/>
  <c r="G37" i="3" s="1"/>
  <c r="I503" i="1"/>
  <c r="F37" i="3" s="1"/>
  <c r="H503" i="1"/>
  <c r="E37" i="3" s="1"/>
  <c r="D37" i="3" s="1"/>
  <c r="F502" i="1"/>
  <c r="F501" i="1"/>
  <c r="F481" i="1"/>
  <c r="H481" i="1" s="1"/>
  <c r="F480" i="1"/>
  <c r="H480" i="1" s="1"/>
  <c r="F478" i="1"/>
  <c r="F477" i="1"/>
  <c r="F476" i="1"/>
  <c r="F475" i="1"/>
  <c r="F473" i="1"/>
  <c r="H473" i="1" s="1"/>
  <c r="F472" i="1"/>
  <c r="H472" i="1" s="1"/>
  <c r="F471" i="1"/>
  <c r="F469" i="1"/>
  <c r="F467" i="1"/>
  <c r="H467" i="1" s="1"/>
  <c r="F466" i="1"/>
  <c r="F465" i="1"/>
  <c r="F464" i="1"/>
  <c r="H464" i="1" s="1"/>
  <c r="F463" i="1"/>
  <c r="H463" i="1" s="1"/>
  <c r="F462" i="1"/>
  <c r="H462" i="1" s="1"/>
  <c r="F461" i="1"/>
  <c r="F460" i="1"/>
  <c r="F459" i="1"/>
  <c r="H459" i="1" s="1"/>
  <c r="F458" i="1"/>
  <c r="F457" i="1"/>
  <c r="H457" i="1" s="1"/>
  <c r="F456" i="1"/>
  <c r="F455" i="1"/>
  <c r="F454" i="1"/>
  <c r="F453" i="1"/>
  <c r="F452" i="1"/>
  <c r="F451" i="1"/>
  <c r="K446" i="1"/>
  <c r="H34" i="3" s="1"/>
  <c r="J446" i="1"/>
  <c r="G34" i="3" s="1"/>
  <c r="I446" i="1"/>
  <c r="F34" i="3" s="1"/>
  <c r="H446" i="1"/>
  <c r="E34" i="3" s="1"/>
  <c r="F445" i="1"/>
  <c r="F444" i="1"/>
  <c r="F443" i="1"/>
  <c r="F442" i="1"/>
  <c r="F441" i="1"/>
  <c r="F440" i="1"/>
  <c r="F439" i="1"/>
  <c r="F438" i="1"/>
  <c r="F437" i="1"/>
  <c r="F436" i="1"/>
  <c r="F435" i="1"/>
  <c r="F434" i="1"/>
  <c r="F433" i="1"/>
  <c r="F432" i="1"/>
  <c r="F431" i="1"/>
  <c r="F429" i="1"/>
  <c r="F428" i="1"/>
  <c r="F427" i="1"/>
  <c r="F426" i="1"/>
  <c r="F425" i="1"/>
  <c r="F424" i="1"/>
  <c r="F423" i="1"/>
  <c r="F422" i="1"/>
  <c r="F421" i="1"/>
  <c r="F420" i="1"/>
  <c r="F419" i="1"/>
  <c r="F418" i="1"/>
  <c r="F417" i="1"/>
  <c r="F416" i="1"/>
  <c r="F415" i="1"/>
  <c r="F414" i="1"/>
  <c r="F413" i="1"/>
  <c r="F412" i="1"/>
  <c r="F411" i="1"/>
  <c r="F410" i="1"/>
  <c r="F409" i="1"/>
  <c r="F408" i="1"/>
  <c r="F407" i="1"/>
  <c r="F406" i="1"/>
  <c r="F405" i="1"/>
  <c r="F404" i="1"/>
  <c r="F403" i="1"/>
  <c r="F402" i="1"/>
  <c r="F401" i="1"/>
  <c r="F400" i="1"/>
  <c r="F399" i="1"/>
  <c r="F398" i="1"/>
  <c r="F397" i="1"/>
  <c r="F396" i="1"/>
  <c r="F395" i="1"/>
  <c r="F394" i="1"/>
  <c r="F393" i="1"/>
  <c r="F391" i="1"/>
  <c r="F392" i="1"/>
  <c r="K387" i="1"/>
  <c r="H33" i="3" s="1"/>
  <c r="J387" i="1"/>
  <c r="G33" i="3" s="1"/>
  <c r="I387" i="1"/>
  <c r="F33" i="3" s="1"/>
  <c r="H387" i="1"/>
  <c r="E33" i="3" s="1"/>
  <c r="F386" i="1"/>
  <c r="F385" i="1"/>
  <c r="F384" i="1"/>
  <c r="F383" i="1"/>
  <c r="F382" i="1"/>
  <c r="F381" i="1"/>
  <c r="F379" i="1"/>
  <c r="F378" i="1"/>
  <c r="F377" i="1"/>
  <c r="F376" i="1"/>
  <c r="F375" i="1"/>
  <c r="K371" i="1"/>
  <c r="H32" i="3" s="1"/>
  <c r="J371" i="1"/>
  <c r="G32" i="3" s="1"/>
  <c r="I371" i="1"/>
  <c r="F32" i="3" s="1"/>
  <c r="F370" i="1"/>
  <c r="H370" i="1" s="1"/>
  <c r="F369" i="1"/>
  <c r="H369" i="1" s="1"/>
  <c r="F368" i="1"/>
  <c r="H368" i="1" s="1"/>
  <c r="F367" i="1"/>
  <c r="F366" i="1"/>
  <c r="H366" i="1" s="1"/>
  <c r="F365" i="1"/>
  <c r="H365" i="1" s="1"/>
  <c r="F364" i="1"/>
  <c r="F363" i="1"/>
  <c r="H363" i="1" s="1"/>
  <c r="F362" i="1"/>
  <c r="F361" i="1"/>
  <c r="H361" i="1" s="1"/>
  <c r="F360" i="1"/>
  <c r="F359" i="1"/>
  <c r="F358" i="1"/>
  <c r="F357" i="1"/>
  <c r="H357" i="1" s="1"/>
  <c r="F356" i="1"/>
  <c r="H356" i="1" s="1"/>
  <c r="F355" i="1"/>
  <c r="H355" i="1" s="1"/>
  <c r="F354" i="1"/>
  <c r="K350" i="1"/>
  <c r="H30" i="3" s="1"/>
  <c r="J350" i="1"/>
  <c r="G30" i="3" s="1"/>
  <c r="I350" i="1"/>
  <c r="F30" i="3" s="1"/>
  <c r="H350" i="1"/>
  <c r="F348" i="1"/>
  <c r="F347" i="1"/>
  <c r="F346" i="1"/>
  <c r="F345" i="1"/>
  <c r="F344" i="1"/>
  <c r="F343" i="1"/>
  <c r="F342" i="1"/>
  <c r="F341" i="1"/>
  <c r="F340" i="1"/>
  <c r="K336" i="1"/>
  <c r="H29" i="3" s="1"/>
  <c r="J336" i="1"/>
  <c r="G29" i="3" s="1"/>
  <c r="I336" i="1"/>
  <c r="F29" i="3" s="1"/>
  <c r="H336" i="1"/>
  <c r="E29" i="3" s="1"/>
  <c r="F335" i="1"/>
  <c r="F334" i="1"/>
  <c r="K330" i="1"/>
  <c r="H28" i="3" s="1"/>
  <c r="J330" i="1"/>
  <c r="G28" i="3" s="1"/>
  <c r="I330" i="1"/>
  <c r="F28" i="3" s="1"/>
  <c r="F329" i="1"/>
  <c r="H329" i="1" s="1"/>
  <c r="F328" i="1"/>
  <c r="F327" i="1"/>
  <c r="H327" i="1" s="1"/>
  <c r="F326" i="1"/>
  <c r="F325" i="1"/>
  <c r="F324" i="1"/>
  <c r="K320" i="1"/>
  <c r="H27" i="3" s="1"/>
  <c r="J320" i="1"/>
  <c r="G27" i="3" s="1"/>
  <c r="I320" i="1"/>
  <c r="F27" i="3" s="1"/>
  <c r="H320" i="1"/>
  <c r="E27" i="3" s="1"/>
  <c r="F319" i="1"/>
  <c r="F318" i="1"/>
  <c r="F317" i="1"/>
  <c r="F316" i="1"/>
  <c r="K312" i="1"/>
  <c r="H26" i="3" s="1"/>
  <c r="J312" i="1"/>
  <c r="G26" i="3" s="1"/>
  <c r="I312" i="1"/>
  <c r="F26" i="3" s="1"/>
  <c r="H312" i="1"/>
  <c r="E26" i="3" s="1"/>
  <c r="F311" i="1"/>
  <c r="F310" i="1"/>
  <c r="F309" i="1"/>
  <c r="F308" i="1"/>
  <c r="F307" i="1"/>
  <c r="F306" i="1"/>
  <c r="F305" i="1"/>
  <c r="F304" i="1"/>
  <c r="F303" i="1"/>
  <c r="F302" i="1"/>
  <c r="F301" i="1"/>
  <c r="F300" i="1"/>
  <c r="F299" i="1"/>
  <c r="F298" i="1"/>
  <c r="K294" i="1"/>
  <c r="H25" i="3" s="1"/>
  <c r="J294" i="1"/>
  <c r="G25" i="3" s="1"/>
  <c r="I294" i="1"/>
  <c r="F25" i="3" s="1"/>
  <c r="H294" i="1"/>
  <c r="E25" i="3" s="1"/>
  <c r="F293" i="1"/>
  <c r="F292" i="1"/>
  <c r="K288" i="1"/>
  <c r="H24" i="3" s="1"/>
  <c r="J288" i="1"/>
  <c r="G24" i="3" s="1"/>
  <c r="I288" i="1"/>
  <c r="F24" i="3" s="1"/>
  <c r="H288" i="1"/>
  <c r="E24" i="3" s="1"/>
  <c r="F287" i="1"/>
  <c r="F286" i="1"/>
  <c r="F285" i="1"/>
  <c r="F284" i="1"/>
  <c r="K280" i="1"/>
  <c r="H23" i="3" s="1"/>
  <c r="J280" i="1"/>
  <c r="G23" i="3" s="1"/>
  <c r="I280" i="1"/>
  <c r="F23" i="3" s="1"/>
  <c r="H280" i="1"/>
  <c r="E23" i="3" s="1"/>
  <c r="F279" i="1"/>
  <c r="F278" i="1"/>
  <c r="F277" i="1"/>
  <c r="F276" i="1"/>
  <c r="F275" i="1"/>
  <c r="F274" i="1"/>
  <c r="F273" i="1"/>
  <c r="F272" i="1"/>
  <c r="F271" i="1"/>
  <c r="F270" i="1"/>
  <c r="F269" i="1"/>
  <c r="F268" i="1"/>
  <c r="F267" i="1"/>
  <c r="F266" i="1"/>
  <c r="F265" i="1"/>
  <c r="F264" i="1"/>
  <c r="F263" i="1"/>
  <c r="F262" i="1"/>
  <c r="F261" i="1"/>
  <c r="F260" i="1"/>
  <c r="F259" i="1"/>
  <c r="K255" i="1"/>
  <c r="H22" i="3" s="1"/>
  <c r="J255" i="1"/>
  <c r="G22" i="3" s="1"/>
  <c r="I255" i="1"/>
  <c r="F22" i="3" s="1"/>
  <c r="H255" i="1"/>
  <c r="E22" i="3" s="1"/>
  <c r="F254" i="1"/>
  <c r="F253" i="1"/>
  <c r="F252" i="1"/>
  <c r="F251" i="1"/>
  <c r="F250" i="1"/>
  <c r="F249" i="1"/>
  <c r="K245" i="1"/>
  <c r="H21" i="3" s="1"/>
  <c r="J245" i="1"/>
  <c r="G21" i="3" s="1"/>
  <c r="I245" i="1"/>
  <c r="F21" i="3" s="1"/>
  <c r="F244" i="1"/>
  <c r="F243" i="1"/>
  <c r="H243" i="1" s="1"/>
  <c r="H245" i="1" s="1"/>
  <c r="E21" i="3" s="1"/>
  <c r="F242" i="1"/>
  <c r="K238" i="1"/>
  <c r="H20" i="3" s="1"/>
  <c r="J238" i="1"/>
  <c r="G20" i="3" s="1"/>
  <c r="I238" i="1"/>
  <c r="F20" i="3" s="1"/>
  <c r="H238" i="1"/>
  <c r="E20" i="3" s="1"/>
  <c r="F237" i="1"/>
  <c r="F236" i="1"/>
  <c r="K232" i="1"/>
  <c r="H19" i="3" s="1"/>
  <c r="J232" i="1"/>
  <c r="G19" i="3" s="1"/>
  <c r="I232" i="1"/>
  <c r="F19" i="3" s="1"/>
  <c r="H232" i="1"/>
  <c r="E19" i="3" s="1"/>
  <c r="F231" i="1"/>
  <c r="F230" i="1"/>
  <c r="F229" i="1"/>
  <c r="F228" i="1"/>
  <c r="F227" i="1"/>
  <c r="F226" i="1"/>
  <c r="F225" i="1"/>
  <c r="F224" i="1"/>
  <c r="K220" i="1"/>
  <c r="H18" i="3" s="1"/>
  <c r="J220" i="1"/>
  <c r="G18" i="3" s="1"/>
  <c r="I220" i="1"/>
  <c r="F18" i="3" s="1"/>
  <c r="H220" i="1"/>
  <c r="E18" i="3" s="1"/>
  <c r="F219" i="1"/>
  <c r="F218" i="1"/>
  <c r="F217" i="1"/>
  <c r="F216" i="1"/>
  <c r="F215" i="1"/>
  <c r="F214" i="1"/>
  <c r="F213" i="1"/>
  <c r="F212" i="1"/>
  <c r="F211" i="1"/>
  <c r="F210" i="1"/>
  <c r="F209" i="1"/>
  <c r="F208" i="1"/>
  <c r="F207" i="1"/>
  <c r="F206" i="1"/>
  <c r="F205" i="1"/>
  <c r="F204" i="1"/>
  <c r="F203" i="1"/>
  <c r="F202" i="1"/>
  <c r="K198" i="1"/>
  <c r="H17" i="3" s="1"/>
  <c r="J198" i="1"/>
  <c r="G17" i="3" s="1"/>
  <c r="I198" i="1"/>
  <c r="F17" i="3" s="1"/>
  <c r="H198" i="1"/>
  <c r="E17" i="3" s="1"/>
  <c r="F197" i="1"/>
  <c r="F196" i="1"/>
  <c r="F195" i="1"/>
  <c r="F194" i="1"/>
  <c r="F193" i="1"/>
  <c r="F192" i="1"/>
  <c r="F191" i="1"/>
  <c r="F190" i="1"/>
  <c r="F189" i="1"/>
  <c r="F188" i="1"/>
  <c r="F187" i="1"/>
  <c r="F180" i="1"/>
  <c r="F179" i="1"/>
  <c r="F178" i="1"/>
  <c r="K174" i="1"/>
  <c r="H15" i="3" s="1"/>
  <c r="J174" i="1"/>
  <c r="G15" i="3" s="1"/>
  <c r="I174" i="1"/>
  <c r="F15" i="3" s="1"/>
  <c r="H174" i="1"/>
  <c r="E15" i="3" s="1"/>
  <c r="F173" i="1"/>
  <c r="F172" i="1"/>
  <c r="F171" i="1"/>
  <c r="F170" i="1"/>
  <c r="F169" i="1"/>
  <c r="F168" i="1"/>
  <c r="F167" i="1"/>
  <c r="F166" i="1"/>
  <c r="F165" i="1"/>
  <c r="K161" i="1"/>
  <c r="H14" i="3" s="1"/>
  <c r="J161" i="1"/>
  <c r="G14" i="3" s="1"/>
  <c r="I161" i="1"/>
  <c r="F14" i="3" s="1"/>
  <c r="H161" i="1"/>
  <c r="E14" i="3" s="1"/>
  <c r="F160" i="1"/>
  <c r="F159" i="1"/>
  <c r="F158" i="1"/>
  <c r="K142" i="1"/>
  <c r="H12" i="3" s="1"/>
  <c r="J142" i="1"/>
  <c r="G12" i="3" s="1"/>
  <c r="I142" i="1"/>
  <c r="F12" i="3" s="1"/>
  <c r="H142" i="1"/>
  <c r="E12" i="3" s="1"/>
  <c r="F141" i="1"/>
  <c r="F140" i="1"/>
  <c r="F139" i="1"/>
  <c r="F138" i="1"/>
  <c r="F137" i="1"/>
  <c r="F136" i="1"/>
  <c r="F135" i="1"/>
  <c r="F134" i="1"/>
  <c r="F133" i="1"/>
  <c r="K129" i="1"/>
  <c r="H11" i="3" s="1"/>
  <c r="J129" i="1"/>
  <c r="G11" i="3" s="1"/>
  <c r="I129" i="1"/>
  <c r="F11" i="3" s="1"/>
  <c r="H129" i="1"/>
  <c r="E11" i="3" s="1"/>
  <c r="F128" i="1"/>
  <c r="F127" i="1"/>
  <c r="F126" i="1"/>
  <c r="F125" i="1"/>
  <c r="F124" i="1"/>
  <c r="F123" i="1"/>
  <c r="F122" i="1"/>
  <c r="F121" i="1"/>
  <c r="F120" i="1"/>
  <c r="F119" i="1"/>
  <c r="K115" i="1"/>
  <c r="H10" i="3" s="1"/>
  <c r="J115" i="1"/>
  <c r="G10" i="3" s="1"/>
  <c r="I115" i="1"/>
  <c r="F10" i="3" s="1"/>
  <c r="H115" i="1"/>
  <c r="E10" i="3" s="1"/>
  <c r="F114" i="1"/>
  <c r="F113" i="1"/>
  <c r="F112" i="1"/>
  <c r="K107" i="1"/>
  <c r="H9" i="3" s="1"/>
  <c r="J107" i="1"/>
  <c r="G9" i="3" s="1"/>
  <c r="I107" i="1"/>
  <c r="F9" i="3" s="1"/>
  <c r="H107" i="1"/>
  <c r="E9" i="3" s="1"/>
  <c r="D9" i="3" s="1"/>
  <c r="F106" i="1"/>
  <c r="F105" i="1"/>
  <c r="F104" i="1"/>
  <c r="F103" i="1"/>
  <c r="F102" i="1"/>
  <c r="F101" i="1"/>
  <c r="F100" i="1"/>
  <c r="F99" i="1"/>
  <c r="F98" i="1"/>
  <c r="F97" i="1"/>
  <c r="F96" i="1"/>
  <c r="F95" i="1"/>
  <c r="F94" i="1"/>
  <c r="F93" i="1"/>
  <c r="F92" i="1"/>
  <c r="F91" i="1"/>
  <c r="F90" i="1"/>
  <c r="F89" i="1"/>
  <c r="F88" i="1"/>
  <c r="F87" i="1"/>
  <c r="F86" i="1"/>
  <c r="F85" i="1"/>
  <c r="F84" i="1"/>
  <c r="F82" i="1"/>
  <c r="F81" i="1"/>
  <c r="F80" i="1"/>
  <c r="F79" i="1"/>
  <c r="F78" i="1"/>
  <c r="F77" i="1"/>
  <c r="F76" i="1"/>
  <c r="F75" i="1"/>
  <c r="F74" i="1"/>
  <c r="F73" i="1"/>
  <c r="F72" i="1"/>
  <c r="F66" i="1"/>
  <c r="F65" i="1"/>
  <c r="F64" i="1"/>
  <c r="F63" i="1"/>
  <c r="F61" i="1"/>
  <c r="F60" i="1"/>
  <c r="F59" i="1"/>
  <c r="F58" i="1"/>
  <c r="F57" i="1"/>
  <c r="F56" i="1"/>
  <c r="F55" i="1"/>
  <c r="F54" i="1"/>
  <c r="K50" i="1"/>
  <c r="H7" i="3" s="1"/>
  <c r="J50" i="1"/>
  <c r="G7" i="3" s="1"/>
  <c r="I50" i="1"/>
  <c r="F7" i="3" s="1"/>
  <c r="H50" i="1"/>
  <c r="E7" i="3" s="1"/>
  <c r="D7" i="3" s="1"/>
  <c r="F49" i="1"/>
  <c r="F48" i="1"/>
  <c r="F47" i="1"/>
  <c r="F46" i="1"/>
  <c r="F45" i="1"/>
  <c r="F44" i="1"/>
  <c r="F43" i="1"/>
  <c r="F42" i="1"/>
  <c r="F41" i="1"/>
  <c r="F40" i="1"/>
  <c r="F39" i="1"/>
  <c r="F38" i="1"/>
  <c r="K34" i="1"/>
  <c r="H6" i="3" s="1"/>
  <c r="J34" i="1"/>
  <c r="G6" i="3" s="1"/>
  <c r="I34" i="1"/>
  <c r="F6" i="3" s="1"/>
  <c r="H34" i="1"/>
  <c r="E6" i="3" s="1"/>
  <c r="F33" i="1"/>
  <c r="F31" i="1"/>
  <c r="F30" i="1"/>
  <c r="F29" i="1"/>
  <c r="F28" i="1"/>
  <c r="F27" i="1"/>
  <c r="F26" i="1"/>
  <c r="F474" i="1"/>
  <c r="F25" i="1"/>
  <c r="F479" i="1"/>
  <c r="F24" i="1"/>
  <c r="F23" i="1"/>
  <c r="F22" i="1"/>
  <c r="F21" i="1"/>
  <c r="K17" i="1"/>
  <c r="J17" i="1"/>
  <c r="I17" i="1"/>
  <c r="F16" i="1"/>
  <c r="F15" i="1"/>
  <c r="F14" i="1"/>
  <c r="F13" i="1"/>
  <c r="F12" i="1"/>
  <c r="F11" i="1"/>
  <c r="C30" i="7" l="1"/>
  <c r="F30" i="7" s="1"/>
  <c r="C28" i="7"/>
  <c r="F28" i="7" s="1"/>
  <c r="F36" i="7" s="1"/>
  <c r="C23" i="7"/>
  <c r="F23" i="7" s="1"/>
  <c r="F25" i="7" s="1"/>
  <c r="F46" i="7"/>
  <c r="K758" i="1"/>
  <c r="J758" i="1"/>
  <c r="I758" i="1"/>
  <c r="H758" i="1"/>
  <c r="K757" i="1"/>
  <c r="H757" i="1"/>
  <c r="I757" i="1"/>
  <c r="J757" i="1"/>
  <c r="J759" i="1" s="1"/>
  <c r="K756" i="1"/>
  <c r="K759" i="1" s="1"/>
  <c r="J756" i="1"/>
  <c r="I756" i="1"/>
  <c r="H756" i="1"/>
  <c r="F756" i="1"/>
  <c r="F539" i="1"/>
  <c r="F564" i="1"/>
  <c r="F589" i="1"/>
  <c r="F600" i="1"/>
  <c r="F615" i="1"/>
  <c r="F627" i="1"/>
  <c r="F674" i="1"/>
  <c r="F696" i="1"/>
  <c r="H371" i="1"/>
  <c r="F371" i="1"/>
  <c r="C32" i="3" s="1"/>
  <c r="F644" i="1"/>
  <c r="F654" i="1"/>
  <c r="I13" i="3"/>
  <c r="J13" i="3" s="1"/>
  <c r="B53" i="7"/>
  <c r="F53" i="7"/>
  <c r="F708" i="1"/>
  <c r="C745" i="1"/>
  <c r="F745" i="1" s="1"/>
  <c r="C744" i="1"/>
  <c r="F744" i="1" s="1"/>
  <c r="K749" i="1"/>
  <c r="J749" i="1"/>
  <c r="I749" i="1"/>
  <c r="H749" i="1"/>
  <c r="K748" i="1"/>
  <c r="J748" i="1"/>
  <c r="H748" i="1"/>
  <c r="K747" i="1"/>
  <c r="J747" i="1"/>
  <c r="J750" i="1" s="1"/>
  <c r="I747" i="1"/>
  <c r="H747" i="1"/>
  <c r="I748" i="1"/>
  <c r="F111" i="1"/>
  <c r="F115" i="1" s="1"/>
  <c r="C10" i="3" s="1"/>
  <c r="D10" i="3" s="1"/>
  <c r="C735" i="1"/>
  <c r="F735" i="1" s="1"/>
  <c r="C734" i="1"/>
  <c r="F734" i="1" s="1"/>
  <c r="K739" i="1"/>
  <c r="J739" i="1"/>
  <c r="I739" i="1"/>
  <c r="H739" i="1"/>
  <c r="K738" i="1"/>
  <c r="J738" i="1"/>
  <c r="I738" i="1"/>
  <c r="H738" i="1"/>
  <c r="K737" i="1"/>
  <c r="J737" i="1"/>
  <c r="I737" i="1"/>
  <c r="H737" i="1"/>
  <c r="I729" i="1"/>
  <c r="J729" i="1"/>
  <c r="H729" i="1"/>
  <c r="K729" i="1"/>
  <c r="K728" i="1"/>
  <c r="J728" i="1"/>
  <c r="I728" i="1"/>
  <c r="H728" i="1"/>
  <c r="K727" i="1"/>
  <c r="K730" i="1" s="1"/>
  <c r="J727" i="1"/>
  <c r="H727" i="1"/>
  <c r="F727" i="1"/>
  <c r="I727" i="1"/>
  <c r="F497" i="1"/>
  <c r="C36" i="3" s="1"/>
  <c r="D36" i="3" s="1"/>
  <c r="F487" i="1"/>
  <c r="J720" i="1"/>
  <c r="H720" i="1"/>
  <c r="K720" i="1"/>
  <c r="I720" i="1"/>
  <c r="K719" i="1"/>
  <c r="I719" i="1"/>
  <c r="J719" i="1"/>
  <c r="H719" i="1"/>
  <c r="K718" i="1"/>
  <c r="J718" i="1"/>
  <c r="I718" i="1"/>
  <c r="H718" i="1"/>
  <c r="F718" i="1"/>
  <c r="F154" i="1"/>
  <c r="C13" i="3" s="1"/>
  <c r="F17" i="1"/>
  <c r="C573" i="1"/>
  <c r="F573" i="1" s="1"/>
  <c r="F572" i="1"/>
  <c r="H451" i="1"/>
  <c r="H487" i="1" s="1"/>
  <c r="H330" i="1"/>
  <c r="E28" i="3" s="1"/>
  <c r="I28" i="3" s="1"/>
  <c r="H17" i="1"/>
  <c r="F183" i="1"/>
  <c r="C16" i="3" s="1"/>
  <c r="D16" i="3" s="1"/>
  <c r="K484" i="1"/>
  <c r="K487" i="1" s="1"/>
  <c r="J484" i="1"/>
  <c r="J487" i="1" s="1"/>
  <c r="I484" i="1"/>
  <c r="I487" i="1" s="1"/>
  <c r="F513" i="1"/>
  <c r="C38" i="3" s="1"/>
  <c r="D38" i="3" s="1"/>
  <c r="F68" i="1"/>
  <c r="C8" i="3" s="1"/>
  <c r="D8" i="3" s="1"/>
  <c r="I29" i="3"/>
  <c r="J29" i="3" s="1"/>
  <c r="I20" i="3"/>
  <c r="J20" i="3" s="1"/>
  <c r="I8" i="3"/>
  <c r="F238" i="1"/>
  <c r="C20" i="3" s="1"/>
  <c r="D20" i="3" s="1"/>
  <c r="I10" i="3"/>
  <c r="I24" i="3"/>
  <c r="J24" i="3" s="1"/>
  <c r="F330" i="1"/>
  <c r="C28" i="3" s="1"/>
  <c r="D28" i="3" s="1"/>
  <c r="I25" i="3"/>
  <c r="J25" i="3" s="1"/>
  <c r="I30" i="3"/>
  <c r="J30" i="3" s="1"/>
  <c r="I21" i="3"/>
  <c r="J21" i="3" s="1"/>
  <c r="F336" i="1"/>
  <c r="C29" i="3" s="1"/>
  <c r="D29" i="3" s="1"/>
  <c r="I27" i="3"/>
  <c r="I26" i="3"/>
  <c r="I15" i="3"/>
  <c r="I17" i="3"/>
  <c r="F387" i="1"/>
  <c r="C33" i="3" s="1"/>
  <c r="I14" i="3"/>
  <c r="F288" i="1"/>
  <c r="C24" i="3" s="1"/>
  <c r="F294" i="1"/>
  <c r="C25" i="3" s="1"/>
  <c r="D25" i="3" s="1"/>
  <c r="I38" i="3"/>
  <c r="I37" i="3"/>
  <c r="F255" i="1"/>
  <c r="C22" i="3" s="1"/>
  <c r="D22" i="3" s="1"/>
  <c r="F686" i="1"/>
  <c r="K576" i="1"/>
  <c r="F503" i="1"/>
  <c r="C37" i="3" s="1"/>
  <c r="I11" i="3"/>
  <c r="I7" i="3"/>
  <c r="I33" i="3"/>
  <c r="F320" i="1"/>
  <c r="C27" i="3" s="1"/>
  <c r="D27" i="3" s="1"/>
  <c r="I6" i="3"/>
  <c r="I18" i="3"/>
  <c r="I12" i="3"/>
  <c r="F312" i="1"/>
  <c r="C26" i="3" s="1"/>
  <c r="D26" i="3" s="1"/>
  <c r="I19" i="3"/>
  <c r="I16" i="3"/>
  <c r="F129" i="1"/>
  <c r="C11" i="3" s="1"/>
  <c r="I51" i="2"/>
  <c r="H51" i="2"/>
  <c r="I34" i="3"/>
  <c r="J34" i="3" s="1"/>
  <c r="F107" i="1"/>
  <c r="F446" i="1"/>
  <c r="F198" i="1"/>
  <c r="C17" i="3" s="1"/>
  <c r="D17" i="3" s="1"/>
  <c r="F174" i="1"/>
  <c r="C15" i="3" s="1"/>
  <c r="D15" i="3" s="1"/>
  <c r="F161" i="1"/>
  <c r="C14" i="3" s="1"/>
  <c r="F220" i="1"/>
  <c r="C18" i="3" s="1"/>
  <c r="F34" i="1"/>
  <c r="F232" i="1"/>
  <c r="C19" i="3" s="1"/>
  <c r="C12" i="3"/>
  <c r="D12" i="3" s="1"/>
  <c r="F50" i="1"/>
  <c r="C7" i="3" s="1"/>
  <c r="F350" i="1"/>
  <c r="F280" i="1"/>
  <c r="C23" i="3" s="1"/>
  <c r="D23" i="3" s="1"/>
  <c r="F245" i="1"/>
  <c r="C21" i="3" s="1"/>
  <c r="D21" i="3" s="1"/>
  <c r="I49" i="2"/>
  <c r="H49" i="2"/>
  <c r="I9" i="3"/>
  <c r="J9" i="3" s="1"/>
  <c r="H50" i="2"/>
  <c r="I50" i="2"/>
  <c r="I48" i="2"/>
  <c r="H48" i="2"/>
  <c r="I44" i="2"/>
  <c r="H44" i="2"/>
  <c r="H43" i="2"/>
  <c r="I43" i="2"/>
  <c r="H42" i="2"/>
  <c r="I42" i="2"/>
  <c r="H41" i="2"/>
  <c r="I41" i="2"/>
  <c r="H40" i="2"/>
  <c r="I40" i="2"/>
  <c r="H36" i="2"/>
  <c r="I36" i="2"/>
  <c r="I35" i="2"/>
  <c r="H35" i="2"/>
  <c r="H34" i="2"/>
  <c r="I34" i="2"/>
  <c r="H33" i="2"/>
  <c r="I33" i="2"/>
  <c r="H32" i="2"/>
  <c r="I32" i="2"/>
  <c r="H31" i="2"/>
  <c r="I31" i="2"/>
  <c r="H30" i="2"/>
  <c r="I30" i="2"/>
  <c r="H29" i="2"/>
  <c r="I29" i="2"/>
  <c r="H28" i="2"/>
  <c r="I28" i="2"/>
  <c r="H27" i="2"/>
  <c r="I27" i="2"/>
  <c r="H26" i="2"/>
  <c r="I26" i="2"/>
  <c r="I25" i="2"/>
  <c r="H25" i="2"/>
  <c r="H24" i="2"/>
  <c r="I24" i="2"/>
  <c r="H23" i="2"/>
  <c r="I23" i="2"/>
  <c r="H22" i="2"/>
  <c r="I22" i="2"/>
  <c r="I21" i="2"/>
  <c r="H21" i="2"/>
  <c r="H20" i="2"/>
  <c r="I20" i="2"/>
  <c r="H19" i="2"/>
  <c r="I19" i="2"/>
  <c r="H18" i="2"/>
  <c r="I18" i="2"/>
  <c r="H17" i="2"/>
  <c r="I17" i="2"/>
  <c r="I16" i="2"/>
  <c r="H16" i="2"/>
  <c r="H15" i="2"/>
  <c r="I15" i="2"/>
  <c r="I14" i="2"/>
  <c r="H14" i="2"/>
  <c r="H13" i="2"/>
  <c r="I13" i="2"/>
  <c r="H12" i="2"/>
  <c r="I12" i="2"/>
  <c r="I11" i="2"/>
  <c r="H11" i="2"/>
  <c r="I10" i="2"/>
  <c r="H10" i="2"/>
  <c r="I9" i="2"/>
  <c r="H9" i="2"/>
  <c r="I8" i="2"/>
  <c r="H8" i="2"/>
  <c r="I7" i="2"/>
  <c r="H7" i="2"/>
  <c r="I6" i="2"/>
  <c r="H6" i="2"/>
  <c r="K711" i="1"/>
  <c r="J711" i="1"/>
  <c r="H711" i="1"/>
  <c r="I711" i="1"/>
  <c r="I710" i="1"/>
  <c r="H710" i="1"/>
  <c r="J710" i="1"/>
  <c r="H709" i="1"/>
  <c r="I709" i="1"/>
  <c r="J709" i="1"/>
  <c r="K709" i="1"/>
  <c r="K710" i="1"/>
  <c r="H699" i="1"/>
  <c r="J699" i="1"/>
  <c r="I699" i="1"/>
  <c r="K699" i="1"/>
  <c r="H698" i="1"/>
  <c r="J698" i="1"/>
  <c r="K698" i="1"/>
  <c r="I698" i="1"/>
  <c r="H697" i="1"/>
  <c r="I697" i="1"/>
  <c r="K697" i="1"/>
  <c r="J697" i="1"/>
  <c r="K689" i="1"/>
  <c r="H689" i="1"/>
  <c r="J689" i="1"/>
  <c r="I689" i="1"/>
  <c r="I688" i="1"/>
  <c r="H688" i="1"/>
  <c r="K688" i="1"/>
  <c r="J688" i="1"/>
  <c r="I687" i="1"/>
  <c r="K687" i="1"/>
  <c r="J687" i="1"/>
  <c r="H687" i="1"/>
  <c r="H677" i="1"/>
  <c r="J677" i="1"/>
  <c r="K677" i="1"/>
  <c r="I677" i="1"/>
  <c r="H676" i="1"/>
  <c r="I676" i="1"/>
  <c r="J676" i="1"/>
  <c r="K676" i="1"/>
  <c r="H675" i="1"/>
  <c r="K675" i="1"/>
  <c r="J675" i="1"/>
  <c r="I675" i="1"/>
  <c r="H666" i="1"/>
  <c r="K666" i="1"/>
  <c r="J666" i="1"/>
  <c r="I666" i="1"/>
  <c r="H665" i="1"/>
  <c r="I665" i="1"/>
  <c r="J665" i="1"/>
  <c r="K665" i="1"/>
  <c r="H664" i="1"/>
  <c r="I664" i="1"/>
  <c r="J664" i="1"/>
  <c r="K664" i="1"/>
  <c r="F664" i="1"/>
  <c r="F665" i="1" s="1"/>
  <c r="F666" i="1" s="1"/>
  <c r="C59" i="3"/>
  <c r="H657" i="1"/>
  <c r="K657" i="1"/>
  <c r="J657" i="1"/>
  <c r="I657" i="1"/>
  <c r="K656" i="1"/>
  <c r="J656" i="1"/>
  <c r="I656" i="1"/>
  <c r="H656" i="1"/>
  <c r="K655" i="1"/>
  <c r="J655" i="1"/>
  <c r="I655" i="1"/>
  <c r="H655" i="1"/>
  <c r="H647" i="1"/>
  <c r="I647" i="1"/>
  <c r="J647" i="1"/>
  <c r="K647" i="1"/>
  <c r="J646" i="1"/>
  <c r="H646" i="1"/>
  <c r="I646" i="1"/>
  <c r="K646" i="1"/>
  <c r="K645" i="1"/>
  <c r="J645" i="1"/>
  <c r="I645" i="1"/>
  <c r="H645" i="1"/>
  <c r="H630" i="1"/>
  <c r="K630" i="1"/>
  <c r="J630" i="1"/>
  <c r="I630" i="1"/>
  <c r="K629" i="1"/>
  <c r="I629" i="1"/>
  <c r="H629" i="1"/>
  <c r="J629" i="1"/>
  <c r="J628" i="1"/>
  <c r="K628" i="1"/>
  <c r="H628" i="1"/>
  <c r="I628" i="1"/>
  <c r="H618" i="1"/>
  <c r="K618" i="1"/>
  <c r="J618" i="1"/>
  <c r="I618" i="1"/>
  <c r="K617" i="1"/>
  <c r="J617" i="1"/>
  <c r="I617" i="1"/>
  <c r="H617" i="1"/>
  <c r="K616" i="1"/>
  <c r="J616" i="1"/>
  <c r="H616" i="1"/>
  <c r="I616" i="1"/>
  <c r="I603" i="1"/>
  <c r="J603" i="1"/>
  <c r="K603" i="1"/>
  <c r="H603" i="1"/>
  <c r="H602" i="1"/>
  <c r="I602" i="1"/>
  <c r="J602" i="1"/>
  <c r="K602" i="1"/>
  <c r="K601" i="1"/>
  <c r="J601" i="1"/>
  <c r="I601" i="1"/>
  <c r="H601" i="1"/>
  <c r="K592" i="1"/>
  <c r="J592" i="1"/>
  <c r="I592" i="1"/>
  <c r="H592" i="1"/>
  <c r="H591" i="1"/>
  <c r="J591" i="1"/>
  <c r="I591" i="1"/>
  <c r="K591" i="1"/>
  <c r="K590" i="1"/>
  <c r="J590" i="1"/>
  <c r="I590" i="1"/>
  <c r="H590" i="1"/>
  <c r="K577" i="1"/>
  <c r="J577" i="1"/>
  <c r="I577" i="1"/>
  <c r="H577" i="1"/>
  <c r="H576" i="1"/>
  <c r="J576" i="1"/>
  <c r="I576" i="1"/>
  <c r="K575" i="1"/>
  <c r="H575" i="1"/>
  <c r="I575" i="1"/>
  <c r="J575" i="1"/>
  <c r="K567" i="1"/>
  <c r="J567" i="1"/>
  <c r="I567" i="1"/>
  <c r="H567" i="1"/>
  <c r="I566" i="1"/>
  <c r="K566" i="1"/>
  <c r="J566" i="1"/>
  <c r="H566" i="1"/>
  <c r="K565" i="1"/>
  <c r="J565" i="1"/>
  <c r="I565" i="1"/>
  <c r="H565" i="1"/>
  <c r="K551" i="1"/>
  <c r="J551" i="1"/>
  <c r="I551" i="1"/>
  <c r="H551" i="1"/>
  <c r="F551" i="1"/>
  <c r="J550" i="1"/>
  <c r="H550" i="1"/>
  <c r="I550" i="1"/>
  <c r="K550" i="1"/>
  <c r="F550" i="1"/>
  <c r="I549" i="1"/>
  <c r="J549" i="1"/>
  <c r="K549" i="1"/>
  <c r="H549" i="1"/>
  <c r="F549" i="1"/>
  <c r="C50" i="3"/>
  <c r="J542" i="1"/>
  <c r="K542" i="1"/>
  <c r="I542" i="1"/>
  <c r="K541" i="1"/>
  <c r="J541" i="1"/>
  <c r="I541" i="1"/>
  <c r="I540" i="1"/>
  <c r="K540" i="1"/>
  <c r="J540" i="1"/>
  <c r="H540" i="1"/>
  <c r="I23" i="3"/>
  <c r="I22" i="3"/>
  <c r="F48" i="7" l="1"/>
  <c r="F51" i="7"/>
  <c r="F52" i="7"/>
  <c r="F54" i="7"/>
  <c r="H759" i="1"/>
  <c r="I759" i="1"/>
  <c r="F757" i="1"/>
  <c r="F574" i="1"/>
  <c r="F746" i="1"/>
  <c r="F616" i="1"/>
  <c r="C55" i="3"/>
  <c r="C56" i="3"/>
  <c r="F628" i="1"/>
  <c r="F629" i="1" s="1"/>
  <c r="F630" i="1" s="1"/>
  <c r="F631" i="1" s="1"/>
  <c r="D56" i="3" s="1"/>
  <c r="F697" i="1"/>
  <c r="F698" i="1" s="1"/>
  <c r="F699" i="1" s="1"/>
  <c r="C62" i="3"/>
  <c r="C57" i="3"/>
  <c r="F645" i="1"/>
  <c r="F709" i="1"/>
  <c r="C63" i="3"/>
  <c r="K740" i="1"/>
  <c r="I740" i="1"/>
  <c r="I750" i="1"/>
  <c r="F736" i="1"/>
  <c r="C67" i="3"/>
  <c r="F747" i="1"/>
  <c r="F748" i="1" s="1"/>
  <c r="F749" i="1" s="1"/>
  <c r="F750" i="1" s="1"/>
  <c r="D67" i="3" s="1"/>
  <c r="H67" i="3" s="1"/>
  <c r="K13" i="3"/>
  <c r="D13" i="3"/>
  <c r="C30" i="3"/>
  <c r="K30" i="3" s="1"/>
  <c r="F515" i="1"/>
  <c r="I730" i="1"/>
  <c r="K750" i="1"/>
  <c r="H750" i="1"/>
  <c r="H740" i="1"/>
  <c r="J740" i="1"/>
  <c r="H730" i="1"/>
  <c r="J721" i="1"/>
  <c r="F655" i="1"/>
  <c r="F656" i="1" s="1"/>
  <c r="C58" i="3"/>
  <c r="J730" i="1"/>
  <c r="F728" i="1"/>
  <c r="F729" i="1" s="1"/>
  <c r="F730" i="1" s="1"/>
  <c r="D65" i="3" s="1"/>
  <c r="I721" i="1"/>
  <c r="H721" i="1"/>
  <c r="K721" i="1"/>
  <c r="F719" i="1"/>
  <c r="F720" i="1" s="1"/>
  <c r="F721" i="1" s="1"/>
  <c r="D64" i="3" s="1"/>
  <c r="H541" i="1"/>
  <c r="I32" i="3"/>
  <c r="C6" i="3"/>
  <c r="K6" i="3" s="1"/>
  <c r="J16" i="2"/>
  <c r="I552" i="1"/>
  <c r="I667" i="1"/>
  <c r="C54" i="3"/>
  <c r="F601" i="1"/>
  <c r="K20" i="3"/>
  <c r="J49" i="2"/>
  <c r="J51" i="2"/>
  <c r="K29" i="3"/>
  <c r="J552" i="1"/>
  <c r="J21" i="2"/>
  <c r="I631" i="1"/>
  <c r="F675" i="1"/>
  <c r="C60" i="3"/>
  <c r="K8" i="3"/>
  <c r="J8" i="3"/>
  <c r="K593" i="1"/>
  <c r="C53" i="3"/>
  <c r="F590" i="1"/>
  <c r="F591" i="1" s="1"/>
  <c r="J44" i="2"/>
  <c r="J14" i="2"/>
  <c r="J25" i="2"/>
  <c r="J8" i="2"/>
  <c r="F552" i="1"/>
  <c r="H667" i="1"/>
  <c r="J593" i="1"/>
  <c r="I619" i="1"/>
  <c r="K24" i="3"/>
  <c r="K25" i="3"/>
  <c r="K21" i="3"/>
  <c r="I45" i="2"/>
  <c r="J10" i="3"/>
  <c r="K10" i="3"/>
  <c r="J11" i="2"/>
  <c r="I543" i="1"/>
  <c r="K678" i="1"/>
  <c r="J678" i="1"/>
  <c r="J690" i="1"/>
  <c r="H690" i="1"/>
  <c r="K648" i="1"/>
  <c r="J648" i="1"/>
  <c r="I648" i="1"/>
  <c r="H648" i="1"/>
  <c r="K568" i="1"/>
  <c r="K700" i="1"/>
  <c r="I52" i="2"/>
  <c r="J9" i="2"/>
  <c r="J35" i="2"/>
  <c r="I568" i="1"/>
  <c r="H568" i="1"/>
  <c r="J27" i="3"/>
  <c r="K27" i="3"/>
  <c r="J26" i="3"/>
  <c r="K26" i="3"/>
  <c r="K15" i="3"/>
  <c r="J15" i="3"/>
  <c r="J17" i="3"/>
  <c r="K17" i="3"/>
  <c r="J14" i="3"/>
  <c r="K14" i="3"/>
  <c r="C51" i="3"/>
  <c r="F565" i="1"/>
  <c r="F566" i="1" s="1"/>
  <c r="F567" i="1" s="1"/>
  <c r="F568" i="1" s="1"/>
  <c r="D51" i="3" s="1"/>
  <c r="J38" i="3"/>
  <c r="K38" i="3"/>
  <c r="K37" i="3"/>
  <c r="J37" i="3"/>
  <c r="C61" i="3"/>
  <c r="F687" i="1"/>
  <c r="F688" i="1" s="1"/>
  <c r="F689" i="1" s="1"/>
  <c r="F690" i="1" s="1"/>
  <c r="D61" i="3" s="1"/>
  <c r="K11" i="3"/>
  <c r="J11" i="3"/>
  <c r="J7" i="3"/>
  <c r="K7" i="3"/>
  <c r="J33" i="3"/>
  <c r="K33" i="3"/>
  <c r="J6" i="3"/>
  <c r="K28" i="3"/>
  <c r="J28" i="3"/>
  <c r="J18" i="3"/>
  <c r="K18" i="3"/>
  <c r="J12" i="3"/>
  <c r="K12" i="3"/>
  <c r="J19" i="3"/>
  <c r="K19" i="3"/>
  <c r="J16" i="3"/>
  <c r="K16" i="3"/>
  <c r="C9" i="3"/>
  <c r="J54" i="2"/>
  <c r="C34" i="3"/>
  <c r="D34" i="3" s="1"/>
  <c r="J568" i="1"/>
  <c r="K552" i="1"/>
  <c r="K543" i="1"/>
  <c r="J543" i="1"/>
  <c r="I678" i="1"/>
  <c r="J10" i="2"/>
  <c r="J7" i="2"/>
  <c r="K658" i="1"/>
  <c r="J658" i="1"/>
  <c r="I658" i="1"/>
  <c r="H552" i="1"/>
  <c r="H578" i="1"/>
  <c r="I578" i="1"/>
  <c r="J578" i="1"/>
  <c r="J50" i="2"/>
  <c r="J36" i="2"/>
  <c r="J32" i="2"/>
  <c r="J31" i="2"/>
  <c r="J30" i="2"/>
  <c r="J28" i="2"/>
  <c r="F667" i="1"/>
  <c r="D59" i="3" s="1"/>
  <c r="K690" i="1"/>
  <c r="K631" i="1"/>
  <c r="H631" i="1"/>
  <c r="F540" i="1"/>
  <c r="C49" i="3"/>
  <c r="I690" i="1"/>
  <c r="J631" i="1"/>
  <c r="H700" i="1"/>
  <c r="I700" i="1"/>
  <c r="J700" i="1"/>
  <c r="J667" i="1"/>
  <c r="K667" i="1"/>
  <c r="K578" i="1"/>
  <c r="H658" i="1"/>
  <c r="H712" i="1"/>
  <c r="I712" i="1"/>
  <c r="J712" i="1"/>
  <c r="K712" i="1"/>
  <c r="J48" i="2"/>
  <c r="H52" i="2"/>
  <c r="J40" i="2"/>
  <c r="H45" i="2"/>
  <c r="J6" i="2"/>
  <c r="H37" i="2"/>
  <c r="H50" i="3"/>
  <c r="K23" i="3"/>
  <c r="J23" i="3"/>
  <c r="K22" i="3"/>
  <c r="J22" i="3"/>
  <c r="J26" i="2"/>
  <c r="J24" i="2"/>
  <c r="J23" i="2"/>
  <c r="J22" i="2"/>
  <c r="J20" i="2"/>
  <c r="J19" i="2"/>
  <c r="J18" i="2"/>
  <c r="J17" i="2"/>
  <c r="J15" i="2"/>
  <c r="J13" i="2"/>
  <c r="J12" i="2"/>
  <c r="I37" i="2"/>
  <c r="H678" i="1"/>
  <c r="K619" i="1"/>
  <c r="J619" i="1"/>
  <c r="H619" i="1"/>
  <c r="J43" i="2"/>
  <c r="J41" i="2"/>
  <c r="J34" i="2"/>
  <c r="J29" i="2"/>
  <c r="J27" i="2"/>
  <c r="K604" i="1"/>
  <c r="J604" i="1"/>
  <c r="I604" i="1"/>
  <c r="H604" i="1"/>
  <c r="J42" i="2"/>
  <c r="J33" i="2"/>
  <c r="I593" i="1"/>
  <c r="H593" i="1"/>
  <c r="F758" i="1" l="1"/>
  <c r="F759" i="1" s="1"/>
  <c r="F761" i="1" s="1"/>
  <c r="F617" i="1"/>
  <c r="F618" i="1" s="1"/>
  <c r="F619" i="1" s="1"/>
  <c r="D55" i="3" s="1"/>
  <c r="H55" i="3" s="1"/>
  <c r="F646" i="1"/>
  <c r="F647" i="1" s="1"/>
  <c r="F648" i="1" s="1"/>
  <c r="D57" i="3" s="1"/>
  <c r="F710" i="1"/>
  <c r="F711" i="1" s="1"/>
  <c r="F712" i="1" s="1"/>
  <c r="D63" i="3" s="1"/>
  <c r="C66" i="3"/>
  <c r="F737" i="1"/>
  <c r="F738" i="1" s="1"/>
  <c r="F739" i="1" s="1"/>
  <c r="F740" i="1" s="1"/>
  <c r="D66" i="3" s="1"/>
  <c r="H66" i="3" s="1"/>
  <c r="F676" i="1"/>
  <c r="H65" i="3"/>
  <c r="H59" i="3"/>
  <c r="H56" i="3"/>
  <c r="H542" i="1"/>
  <c r="H543" i="1" s="1"/>
  <c r="J32" i="3"/>
  <c r="K32" i="3"/>
  <c r="K34" i="3"/>
  <c r="C52" i="3"/>
  <c r="F575" i="1"/>
  <c r="F576" i="1" s="1"/>
  <c r="F577" i="1" s="1"/>
  <c r="F578" i="1" s="1"/>
  <c r="D52" i="3" s="1"/>
  <c r="F602" i="1"/>
  <c r="F603" i="1" s="1"/>
  <c r="F604" i="1" s="1"/>
  <c r="D54" i="3" s="1"/>
  <c r="F700" i="1"/>
  <c r="D62" i="3" s="1"/>
  <c r="K9" i="3"/>
  <c r="H61" i="3"/>
  <c r="F657" i="1"/>
  <c r="F658" i="1" s="1"/>
  <c r="D58" i="3" s="1"/>
  <c r="J45" i="2"/>
  <c r="J37" i="2"/>
  <c r="J52" i="2"/>
  <c r="F541" i="1"/>
  <c r="F542" i="1" s="1"/>
  <c r="F543" i="1" s="1"/>
  <c r="D49" i="3" s="1"/>
  <c r="H49" i="3" s="1"/>
  <c r="F592" i="1"/>
  <c r="F593" i="1" s="1"/>
  <c r="D53" i="3" s="1"/>
  <c r="H53" i="3" s="1"/>
  <c r="F677" i="1" l="1"/>
  <c r="F678" i="1" s="1"/>
  <c r="D60" i="3" s="1"/>
  <c r="H63" i="3"/>
  <c r="H57" i="3"/>
  <c r="H62" i="3"/>
  <c r="H58" i="3"/>
  <c r="H64" i="3"/>
  <c r="H54" i="3"/>
  <c r="H51" i="3"/>
  <c r="H52" i="3" l="1"/>
  <c r="H60" i="3" l="1"/>
  <c r="C35" i="3" l="1"/>
  <c r="C39" i="3" s="1"/>
  <c r="C40" i="3" s="1"/>
  <c r="C41" i="3" s="1"/>
  <c r="C42" i="3" s="1"/>
  <c r="F516" i="1"/>
  <c r="F517" i="1" l="1"/>
  <c r="C43" i="3"/>
  <c r="H71" i="3" s="1"/>
  <c r="E35" i="3"/>
  <c r="D39" i="3" l="1"/>
  <c r="E39" i="3"/>
  <c r="F518" i="1"/>
  <c r="F519" i="1" s="1"/>
  <c r="E40" i="3" l="1"/>
  <c r="D41" i="3" l="1"/>
  <c r="D42" i="3" s="1"/>
  <c r="D43" i="3" s="1"/>
  <c r="E41" i="3"/>
  <c r="E42" i="3" s="1"/>
  <c r="E43" i="3" s="1"/>
  <c r="F35" i="3"/>
  <c r="F39" i="3" l="1"/>
  <c r="F41" i="3" l="1"/>
  <c r="F42" i="3"/>
  <c r="F40" i="3"/>
  <c r="G35" i="3"/>
  <c r="G39" i="3" s="1"/>
  <c r="F43" i="3" l="1"/>
  <c r="G40" i="3"/>
  <c r="G42" i="3"/>
  <c r="G41" i="3"/>
  <c r="H35" i="3"/>
  <c r="H39" i="3" l="1"/>
  <c r="H42" i="3" s="1"/>
  <c r="I35" i="3"/>
  <c r="G43" i="3"/>
  <c r="K35" i="3" l="1"/>
  <c r="J35" i="3"/>
  <c r="H40" i="3"/>
  <c r="H41" i="3"/>
  <c r="H43"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tc={7862B874-A9A7-40E3-986D-77D9C16F41FD}</author>
    <author>Matt Nicosia</author>
  </authors>
  <commentList>
    <comment ref="B391" authorId="0" shapeId="0" xr:uid="{00000000-0006-0000-0000-000001000000}">
      <text>
        <r>
          <rPr>
            <sz val="10"/>
            <rFont val="Arial"/>
            <family val="2"/>
          </rPr>
          <t>Furnish $4,500.00 + Install $7,500.00 per LS.
Temp service pole, meter pan, 100A temp panel, GFCI cords, string lighting in modules/basement; ~10-12 mo. Utility fees excluded.
(Priced 2026-09-28, conceptual)</t>
        </r>
      </text>
    </comment>
    <comment ref="B393" authorId="0" shapeId="0" xr:uid="{00000000-0006-0000-0000-000002000000}">
      <text>
        <r>
          <rPr>
            <sz val="10"/>
            <rFont val="Arial"/>
            <family val="2"/>
          </rPr>
          <t>Furnish $15.00 + Install $95.00 per EA.
Mate-line splices between modules, ~60 connections (6 modules, 2 floors) in accessible J-boxes, labeled.
(Priced 2026-09-28, conceptual)</t>
        </r>
      </text>
    </comment>
    <comment ref="B394" authorId="0" shapeId="0" xr:uid="{00000000-0006-0000-0000-000003000000}">
      <text>
        <r>
          <rPr>
            <sz val="10"/>
            <rFont val="Arial"/>
            <family val="2"/>
          </rPr>
          <t>Furnish $150.00 + Install $300.00 per EA.
~30 branch circuits outside modules (basement, garage, stair volume, exterior soffits, decks, roof deck). Covers wire/boxes for F/O-I/O fixture rows. Blue F/I device rows already carry their own wiring.
(Priced 2026-09-28, conceptual)</t>
        </r>
      </text>
    </comment>
    <comment ref="B395" authorId="0" shapeId="0" xr:uid="{00000000-0006-0000-0000-000004000000}">
      <text>
        <r>
          <rPr>
            <sz val="10"/>
            <rFont val="Arial"/>
            <family val="2"/>
          </rPr>
          <t>Furnish $2,300.00 + Install $5,200.00 per LS.
Phase 1 basement: ~8 convenience outlets + equipment circuits for 2 geo heat pumps, flow center, circulators, AHU #1, 2 tankless heaters, sump/misc.
(Priced 2026-09-28, conceptual)</t>
        </r>
      </text>
    </comment>
    <comment ref="B398" authorId="0" shapeId="0" xr:uid="{00000000-0006-0000-0000-000005000000}">
      <text>
        <r>
          <rPr>
            <sz val="10"/>
            <rFont val="Arial"/>
            <family val="2"/>
          </rPr>
          <t>Furnish $600.00 + Install $1,900.00 per LS.
Connect (2) 2in factory solar conduits across mate lines, extend to basement load center and roof penetration; pull string. PVC vs EMT conflict open (Review #26).
(Priced 2026-09-28, conceptual)</t>
        </r>
      </text>
    </comment>
    <comment ref="B400" authorId="0" shapeId="0" xr:uid="{00000000-0006-0000-0000-000006000000}">
      <text>
        <r>
          <rPr>
            <sz val="10"/>
            <rFont val="Arial"/>
            <family val="2"/>
          </rPr>
          <t>Furnish $0.00 + Install $55.00 per EA.
I/O: swap factory temporary rockers for ship-loose RadioRA3 controls in modules. ~21 keypads + ~44 dimmers/switches (A1.21, A1.22 keypad tags).
(Priced 2026-09-28, conceptual)</t>
        </r>
      </text>
    </comment>
    <comment ref="B401" authorId="0" shapeId="0" xr:uid="{00000000-0006-0000-0000-000007000000}">
      <text>
        <r>
          <rPr>
            <sz val="10"/>
            <rFont val="Arial"/>
            <family val="2"/>
          </rPr>
          <t>Furnish $0.00 + Install $800.00 per LS.
I/O per Steve 9/28: factory supplies. Receive/inventory ($300) + mount/connect processor and ~3 repeaters (4 @ $125). Device install is on rows 372/374; programming on row 378.
(Priced 2026-09-28, conceptual)</t>
        </r>
      </text>
    </comment>
    <comment ref="B403" authorId="0" shapeId="0" xr:uid="{00000000-0006-0000-0000-000008000000}">
      <text>
        <r>
          <rPr>
            <sz val="10"/>
            <rFont val="Arial"/>
            <family val="2"/>
          </rPr>
          <t>Furnish $225.00 + Install $95.00 per EA.
Remote Sunnata dimmer bank in basement utility closet (~12 per A1.20): dimmer + multi-gang box; connect and label factory whips.
(Priced 2026-09-28, conceptual)</t>
        </r>
      </text>
    </comment>
    <comment ref="B404" authorId="0" shapeId="0" xr:uid="{00000000-0006-0000-0000-000009000000}">
      <text>
        <r>
          <rPr>
            <sz val="10"/>
            <rFont val="Arial"/>
            <family val="2"/>
          </rPr>
          <t>Furnish $85.00 + Install $35.00 per EA.
Pico + wallplate bracket in guest bath 4-gang plates (A1.22 PIC tags, 3 baths).
(Priced 2026-09-28, conceptual)</t>
        </r>
      </text>
    </comment>
    <comment ref="B406" authorId="0" shapeId="0" xr:uid="{00000000-0006-0000-0000-00000A000000}">
      <text>
        <r>
          <rPr>
            <sz val="10"/>
            <rFont val="Arial"/>
            <family val="2"/>
          </rPr>
          <t>Furnish $0.00 + Install $8,250.00 per LS.
Lutron Designer programming ~122 devices @ $55, keypad engraving ~25 @ $45, 30-min fan timers, owner training $400. Shade programming carried in Alt 13.
(Priced 2026-09-28, conceptual)</t>
        </r>
      </text>
    </comment>
    <comment ref="B407" authorId="0" shapeId="0" xr:uid="{00000000-0006-0000-0000-00000B000000}">
      <text>
        <r>
          <rPr>
            <sz val="10"/>
            <rFont val="Arial"/>
            <family val="2"/>
          </rPr>
          <t>Furnish $1,000.00 + Install $500.00 per LS.
Allowance: Lutron LUT-MLC capacitors and compatible dimmers/drivers where fixture loads are low (Lighting Note 10).
(Priced 2026-09-28, conceptual)</t>
        </r>
      </text>
    </comment>
    <comment ref="B408" authorId="0" shapeId="0" xr:uid="{00000000-0006-0000-0000-00000C000000}">
      <text>
        <r>
          <rPr>
            <sz val="10"/>
            <rFont val="Arial"/>
            <family val="2"/>
          </rPr>
          <t>Furnish $6,500.00 + Install $7,000.00 per LS.
UG service lateral ~150 LF (conductors + 3in PVC), 320A/400A meter-main + grounding. Trenching carried in earthwork (row 349). Utility charges excluded. 200A house panel + 200A EV subpanel likely needs 320A service.
(Priced 2026-09-28, conceptual)</t>
        </r>
      </text>
    </comment>
    <comment ref="B409" authorId="0" shapeId="0" xr:uid="{00000000-0006-0000-0000-00000D000000}">
      <text>
        <r>
          <rPr>
            <sz val="10"/>
            <rFont val="Arial"/>
            <family val="2"/>
          </rPr>
          <t>Furnish $6.00 + Install $7.00 per LF.
(2) 2in PVC comm conduits ~150 LF each w/ pull string + pull boxes. Trench by earthwork.
(Priced 2026-09-28, conceptual)</t>
        </r>
      </text>
    </comment>
    <comment ref="B410" authorId="0" shapeId="0" xr:uid="{00000000-0006-0000-0000-00000E000000}">
      <text>
        <r>
          <rPr>
            <sz val="10"/>
            <rFont val="Arial"/>
            <family val="2"/>
          </rPr>
          <t>Furnish $300.00 + Install $2,100.00 per LS.
I/O factory 200A panel: set in basement, terminate ~40 labeled module circuits, bond/ground.
(Priced 2026-09-28, conceptual)</t>
        </r>
      </text>
    </comment>
    <comment ref="B412" authorId="0" shapeId="0" xr:uid="{00000000-0006-0000-0000-00000F000000}">
      <text>
        <r>
          <rPr>
            <sz val="10"/>
            <rFont val="Arial"/>
            <family val="2"/>
          </rPr>
          <t>Furnish $700.00 + Install $800.00 per LS.
Install ~150 factory Claro plates in modules; F/I ~60 Claro plates outside modules not already in device rates.
(Priced 2026-09-28, conceptual)</t>
        </r>
      </text>
    </comment>
    <comment ref="B416" authorId="0" shapeId="0" xr:uid="{00000000-0006-0000-0000-000010000000}">
      <text>
        <r>
          <rPr>
            <sz val="10"/>
            <rFont val="Arial"/>
            <family val="2"/>
          </rPr>
          <t>Furnish $60.00 + Install $115.00 per EA.
Outlet under Robern medicine cabinets, primary bath (L+R), SS plate; factory rough.
(Priced 2026-09-28, conceptual)</t>
        </r>
      </text>
    </comment>
    <comment ref="B417" authorId="0" shapeId="0" xr:uid="{00000000-0006-0000-0000-000011000000}">
      <text>
        <r>
          <rPr>
            <sz val="10"/>
            <rFont val="Arial"/>
            <family val="2"/>
          </rPr>
          <t>Furnish $25.00 + Install $10.00 per EA.
Black device/plate upcharge at black steel walls (~10 devices).
(Priced 2026-09-28, conceptual)</t>
        </r>
      </text>
    </comment>
    <comment ref="B418" authorId="0" shapeId="0" xr:uid="{00000000-0006-0000-0000-000012000000}">
      <text>
        <r>
          <rPr>
            <sz val="10"/>
            <rFont val="Arial"/>
            <family val="2"/>
          </rPr>
          <t>Furnish $140.00 + Install $0.00 per EA.
F/O Juno IC1LED 4in / 2LEDTRIM 2in outside modules: ~3 basement stair + ~7 stair volume/landings.
(Priced 2026-09-28, conceptual)</t>
        </r>
      </text>
    </comment>
    <comment ref="B419" authorId="0" shapeId="0" xr:uid="{00000000-0006-0000-0000-000013000000}">
      <text>
        <r>
          <rPr>
            <sz val="10"/>
            <rFont val="Arial"/>
            <family val="2"/>
          </rPr>
          <t>Furnish $0.00 + Install $165.00 per EA.
I/O L1/L2 outside modules incl. housing set, trim, connect.
(Priced 2026-09-28, conceptual)</t>
        </r>
      </text>
    </comment>
    <comment ref="B423" authorId="0" shapeId="0" xr:uid="{00000000-0006-0000-0000-000014000000}">
      <text>
        <r>
          <rPr>
            <sz val="10"/>
            <rFont val="Arial"/>
            <family val="2"/>
          </rPr>
          <t>Furnish $60.00 + Install $0.00 per LF.
F/O WAC InvisiLED Pro2+ tape + angled recessed channel + frosted diffuser, ~80 LF in cedar ceilings (lengths TBC by GC). Drivers on row 407.
(Priced 2026-09-28, conceptual)</t>
        </r>
      </text>
    </comment>
    <comment ref="B424" authorId="0" shapeId="0" xr:uid="{00000000-0006-0000-0000-000015000000}">
      <text>
        <r>
          <rPr>
            <sz val="10"/>
            <rFont val="Arial"/>
            <family val="2"/>
          </rPr>
          <t>Furnish $0.00 + Install $38.00 per LF.
I/O L8 flush in cedar: channel set/coordination with carpenter, tape, diffuser, connect.
(Priced 2026-09-28, conceptual)</t>
        </r>
      </text>
    </comment>
    <comment ref="B427" authorId="0" shapeId="0" xr:uid="{00000000-0006-0000-0000-000016000000}">
      <text>
        <r>
          <rPr>
            <sz val="10"/>
            <rFont val="Arial"/>
            <family val="2"/>
          </rPr>
          <t>Furnish $0.00 + Install $125.00 per EA.
I/O factory-supplied L12BB black step lights on black steel wall after steel install.
(Priced 2026-09-28, conceptual)</t>
        </r>
      </text>
    </comment>
    <comment ref="B428" authorId="0" shapeId="0" xr:uid="{00000000-0006-0000-0000-000017000000}">
      <text>
        <r>
          <rPr>
            <sz val="10"/>
            <rFont val="Arial"/>
            <family val="2"/>
          </rPr>
          <t>Furnish $200.00 + Install $0.00 per EA.
Owner allowance $200/EA (SUPP 6.11); 2 per guest bedroom x 3.
(Priced 2026-09-28, conceptual)</t>
        </r>
      </text>
    </comment>
    <comment ref="B429" authorId="0" shapeId="0" xr:uid="{00000000-0006-0000-0000-000018000000}">
      <text>
        <r>
          <rPr>
            <sz val="10"/>
            <rFont val="Arial"/>
            <family val="2"/>
          </rPr>
          <t>Furnish $0.00 + Install $125.00 per EA.
I/O L19 bedside lamps w/ integral switch.
(Priced 2026-09-28, conceptual)</t>
        </r>
      </text>
    </comment>
    <comment ref="B432" authorId="0" shapeId="0" xr:uid="{00000000-0006-0000-0000-000019000000}">
      <text>
        <r>
          <rPr>
            <sz val="10"/>
            <rFont val="Arial"/>
            <family val="2"/>
          </rPr>
          <t>Furnish $400.00 + Install $0.00 per EA.
Owner allowance $400/EA (SUPP 6.11); 2 per A1.22.
(Priced 2026-09-28, conceptual)</t>
        </r>
      </text>
    </comment>
    <comment ref="B433" authorId="0" shapeId="0" xr:uid="{00000000-0006-0000-0000-00001A000000}">
      <text>
        <r>
          <rPr>
            <sz val="10"/>
            <rFont val="Arial"/>
            <family val="2"/>
          </rPr>
          <t>Furnish $0.00 + Install $300.00 per EA.
I/O L21 primary bedroom pendants.
(Priced 2026-09-28, conceptual)</t>
        </r>
      </text>
    </comment>
    <comment ref="B434" authorId="0" shapeId="0" xr:uid="{00000000-0006-0000-0000-00001B000000}">
      <text>
        <r>
          <rPr>
            <sz val="10"/>
            <rFont val="Arial"/>
            <family val="2"/>
          </rPr>
          <t>Furnish $0.00 + Install $500.00 per LS.
I/O factory-supplied lights in foyer millwork sleeve (~4).
(Priced 2026-09-28, conceptual)</t>
        </r>
      </text>
    </comment>
    <comment ref="B435" authorId="0" shapeId="0" xr:uid="{00000000-0006-0000-0000-00001C000000}">
      <text>
        <r>
          <rPr>
            <sz val="10"/>
            <rFont val="Arial"/>
            <family val="2"/>
          </rPr>
          <t>Furnish $600.00 + Install $0.00 per LS.
Bulbs for pendants, lamps, misc. non-integral fixtures (most fixtures are integral LED).
(Priced 2026-09-28, conceptual)</t>
        </r>
      </text>
    </comment>
    <comment ref="B436" authorId="0" shapeId="0" xr:uid="{00000000-0006-0000-0000-00001D000000}">
      <text>
        <r>
          <rPr>
            <sz val="10"/>
            <rFont val="Arial"/>
            <family val="2"/>
          </rPr>
          <t>Furnish $150.00 + Install $75.00 per EA.
Lutron-compatible remote drivers for L6A, L8, step lights; accessible locations.
(Priced 2026-09-28, conceptual)</t>
        </r>
      </text>
    </comment>
    <comment ref="B438" authorId="0" shapeId="0" xr:uid="{00000000-0006-0000-0000-00001E000000}">
      <text>
        <r>
          <rPr>
            <sz val="10"/>
            <rFont val="Arial"/>
            <family val="2"/>
          </rPr>
          <t>Furnish $0.00 + Install $175.00 per EA.
I/O Juno MD1 exterior downlights in stucco/soffits, wet-location connect.
(Priced 2026-09-28, conceptual)</t>
        </r>
      </text>
    </comment>
    <comment ref="H449" authorId="1" shapeId="0" xr:uid="{7862B874-A9A7-40E3-986D-77D9C16F41FD}">
      <text>
        <t>[Threaded comment]
Your version of Excel allows you to read this threaded comment; however, any edits to it will get removed if the file is opened in a newer version of Excel. Learn more: https://go.microsoft.com/fwlink/?linkid=870924
Comment:
    Removed $20k for MTA work</t>
      </text>
    </comment>
    <comment ref="B535" authorId="0" shapeId="0" xr:uid="{00000000-0006-0000-0000-00001F000000}">
      <text>
        <r>
          <rPr>
            <sz val="10"/>
            <rFont val="Arial"/>
            <family val="2"/>
          </rPr>
          <t>Furnish $0.00 + Install $1,500.00 per LS.
Alt 1: utility disconnect coordination, safe-off and make-safe existing house service before demo.
(Priced 2026-09-28, conceptual)</t>
        </r>
      </text>
    </comment>
    <comment ref="B585" authorId="0" shapeId="0" xr:uid="{00000000-0006-0000-0000-000020000000}">
      <text>
        <r>
          <rPr>
            <sz val="10"/>
            <rFont val="Arial"/>
            <family val="2"/>
          </rPr>
          <t>Furnish $900.00 + Install $1,300.00 per LS.
Alt 5: 60A GFCI spa disconnect + ~80 LF circuit to roof deck, capped for future hot tub.
(Priced 2026-09-28, conceptual)</t>
        </r>
      </text>
    </comment>
    <comment ref="B608" authorId="0" shapeId="0" xr:uid="{00000000-0006-0000-0000-000022000000}">
      <text>
        <r>
          <rPr>
            <sz val="10"/>
            <rFont val="Arial"/>
            <family val="2"/>
          </rPr>
          <t>Furnish $12,360.00 + Install $11,490.00 per LS.
Alt 7: ~8.4 kW (20 x 420W panels, ~440 SF) ballasted, microinverters, combiner, disconnect, interconnection, design/permit. Matches 9/28 solar number ($13,000 array + $10,850 electrical). Federal 25D credit expired 12/31/2025.
(Priced 2026-09-28, conceptual)</t>
        </r>
      </text>
    </comment>
    <comment ref="B623" authorId="0" shapeId="0" xr:uid="{00000000-0006-0000-0000-000023000000}">
      <text>
        <r>
          <rPr>
            <sz val="10"/>
            <rFont val="Arial"/>
            <family val="2"/>
          </rPr>
          <t>Furnish $12,500.00 + Install $4,500.00 per LS.
Alt 8: one 13.5 kWh battery with integrated inverter/gateway, backup-loads panel, install, commissioning. Confirm platform matches solar (microinverter vs string).
(Priced 2026-09-28, conceptual)</t>
        </r>
      </text>
    </comment>
    <comment ref="B635" authorId="0" shapeId="0" xr:uid="{00000000-0006-0000-0000-000024000000}">
      <text>
        <r>
          <rPr>
            <sz val="10"/>
            <rFont val="Arial"/>
            <family val="2"/>
          </rPr>
          <t>Furnish $11,500.00 + Install $7,000.00 per LS.
Alt 9: 24-26 kW air-cooled standby gen, 400A service-rated ATS, pad, electrical install, startup/permit. Gas piping by plumbing.
(Priced 2026-09-28, conceptual)</t>
        </r>
      </text>
    </comment>
    <comment ref="B682" authorId="0" shapeId="0" xr:uid="{00000000-0006-0000-0000-000025000000}">
      <text>
        <r>
          <rPr>
            <sz val="10"/>
            <rFont val="Arial"/>
            <family val="2"/>
          </rPr>
          <t>Furnish $95.00 + Install $35.00 per LF.
Alt 13: ~145 LF of shade heads (24 openings). 1/8in plate on 1-1/2 angle, white powder coat, epoxied N42 magnets.
(Priced 2026-09-28, conceptual)</t>
        </r>
      </text>
    </comment>
    <comment ref="B683" authorId="0" shapeId="0" xr:uid="{00000000-0006-0000-0000-000026000000}">
      <text>
        <r>
          <rPr>
            <sz val="10"/>
            <rFont val="Arial"/>
            <family val="2"/>
          </rPr>
          <t>Furnish $1,446.00 + Install $175.00 per EA.
Alt 13: 24 Sivoia QS Triathlon battery shades, 20 openings (wide doors 115/120/224 split in 2). 2 small @ $850, 11 med @ $1,250, 11 large @ $1,750 furnish incl. fascia/jamb mount.
(Priced 2026-09-28, conceptual)</t>
        </r>
      </text>
    </comment>
    <comment ref="B684" authorId="0" shapeId="0" xr:uid="{00000000-0006-0000-0000-000027000000}">
      <text>
        <r>
          <rPr>
            <sz val="10"/>
            <rFont val="Arial"/>
            <family val="2"/>
          </rPr>
          <t>Furnish $2,400.00 + Install $200.00 per EA.
Alt 13: primary bed 214/215/216 = 4 Triathlon blackout (2 med @ $1,350, 2 large @ $1,850) + 4 Palladiom battery ceiling shades @ $3,200.
(Priced 2026-09-28, conceptual)</t>
        </r>
      </text>
    </comment>
    <comment ref="B685" authorId="0" shapeId="0" xr:uid="{00000000-0006-0000-0000-000028000000}">
      <text>
        <r>
          <rPr>
            <sz val="10"/>
            <rFont val="Arial"/>
            <family val="2"/>
          </rPr>
          <t>Furnish $1,200.00 + Install $1,300.00 per LS.
Alt 13: one shade + valance mock-up at a typical window, then removal/reuse.
(Priced 2026-09-28, conceptual)</t>
        </r>
      </text>
    </comment>
    <comment ref="B704" authorId="2" shapeId="0" xr:uid="{210B70EA-7892-40B2-BE5E-0D39C77F9931}">
      <text>
        <r>
          <rPr>
            <b/>
            <sz val="9"/>
            <color indexed="81"/>
            <rFont val="Tahoma"/>
            <family val="2"/>
          </rPr>
          <t>Matt Nicosia:</t>
        </r>
        <r>
          <rPr>
            <sz val="9"/>
            <color indexed="81"/>
            <rFont val="Tahoma"/>
            <family val="2"/>
          </rPr>
          <t xml:space="preserve">
Furnish $18.00 per SF (glass area) upcharge.
Acoustic laminated IGU upgrade over the dual-pane Low-E2 spec (A0.20 Gen. Notes 03-06). Glass area ~480 SF = ~85% of 561 SF gross unit area from the A0.20 schedule: 16 front-stair units, 3 basement (#001, #002, #003), 3 garage windows + French door #128. Typical laminated-option premium ~20% of unit cost (units carried at $40,800).
(Priced 2026-09-30, conceptual)</t>
        </r>
      </text>
    </comment>
    <comment ref="B705" authorId="2" shapeId="0" xr:uid="{DAF036C5-CC23-43AA-8903-B6F294B80499}">
      <text>
        <r>
          <rPr>
            <b/>
            <sz val="9"/>
            <color indexed="81"/>
            <rFont val="Tahoma"/>
            <family val="2"/>
          </rPr>
          <t>Matt Nicosia:</t>
        </r>
        <r>
          <rPr>
            <sz val="9"/>
            <color indexed="81"/>
            <rFont val="Tahoma"/>
            <family val="2"/>
          </rPr>
          <t xml:space="preserve">
Install $105.00 per EA.
About 1.5 crew-hours per unit extra at $70/hr (Westchester County open-shop glazier/carpenter, loaded) for heavier laminated units and two-person set. 23 units.
(Priced 2026-09-30, conceptual)</t>
        </r>
      </text>
    </comment>
    <comment ref="B706" authorId="2" shapeId="0" xr:uid="{E9E37FAB-D18C-4904-B227-0D22EFD55E70}">
      <text>
        <r>
          <rPr>
            <b/>
            <sz val="9"/>
            <color indexed="81"/>
            <rFont val="Tahoma"/>
            <family val="2"/>
          </rPr>
          <t>Matt Nicosia:</t>
        </r>
        <r>
          <rPr>
            <sz val="9"/>
            <color indexed="81"/>
            <rFont val="Tahoma"/>
            <family val="2"/>
          </rPr>
          <t xml:space="preserve">
Install $1,350.00 per LS.
Unit #003 is ~127 SF. Extra handling = 2 men x 6 hr x $70/hr = $840 plus ~$500 lull/hoist rental.
(Priced 2026-09-30, conceptual)</t>
        </r>
      </text>
    </comment>
    <comment ref="B707" authorId="2" shapeId="0" xr:uid="{6312E2FB-8C71-43C8-A34D-8027AEA2D480}">
      <text>
        <r>
          <rPr>
            <b/>
            <sz val="9"/>
            <color indexed="81"/>
            <rFont val="Tahoma"/>
            <family val="2"/>
          </rPr>
          <t>Matt Nicosia:</t>
        </r>
        <r>
          <rPr>
            <sz val="9"/>
            <color indexed="81"/>
            <rFont val="Tahoma"/>
            <family val="2"/>
          </rPr>
          <t xml:space="preserve">
Furnish $12,000.00 per LS (allowance).
Factory-supplied module windows are not scheduled in the documents. Assumes ~600 SF of glass at ~$18/SF plus SBS handling. Replace with the SBS/Re4a quote. Note the manufacturer conflict (Marvin vs. Andersen, SBS 5-2).
(Priced 2026-09-30, conceptual)</t>
        </r>
      </text>
    </comment>
  </commentList>
</comments>
</file>

<file path=xl/sharedStrings.xml><?xml version="1.0" encoding="utf-8"?>
<sst xmlns="http://schemas.openxmlformats.org/spreadsheetml/2006/main" count="4517" uniqueCount="1938">
  <si>
    <t>Eun/Yu Residence -- 28 Country Club Lane South</t>
  </si>
  <si>
    <t>28 Country Club Lane South, Briarcliff Manor, NY 10510   |   Internal Estimate Report (Scope / Leveling)</t>
  </si>
  <si>
    <t>Date: 2026-09-23</t>
  </si>
  <si>
    <t>Prepared By: BLDG Estimating   |   Job E26040   |   Client: Resolution: 4 Architecture / Eun-Yu</t>
  </si>
  <si>
    <t>F/I = Furnish and Install  |  F/O = Furnish Only  |  I/O = Install Only  |  Remove = Demolition  |  Provide = Services  |  LS = Lump Sum  |  Alternates begin at row 501</t>
  </si>
  <si>
    <t>GREEN = concrete priced from the drawing takeoff (CY at adjusted $/CY).   BLUE = NOVATerra takeoff matched to SOW scope (INCL = covered by the priced line above it).   AMBER = priced takeoff item with no SOW match, added.   Unshaded = SOW scope not priced in takeoff.   Sub bids: enter a lump sum on the trade header row or price line by line.   LAVENDER = electrical / shade pricing added 2026-09-28 (conceptual unit pricing; hover column B for furnish/install split and basis).</t>
  </si>
  <si>
    <t>CSI</t>
  </si>
  <si>
    <t>Scope Item</t>
  </si>
  <si>
    <t>Qty</t>
  </si>
  <si>
    <t>Unit</t>
  </si>
  <si>
    <t>Unit Rate</t>
  </si>
  <si>
    <t>Total</t>
  </si>
  <si>
    <t>Sub #1</t>
  </si>
  <si>
    <t>Sub #2</t>
  </si>
  <si>
    <t>Sub #3</t>
  </si>
  <si>
    <t>Sub #4</t>
  </si>
  <si>
    <t>DEMOLITION</t>
  </si>
  <si>
    <t>02.41.16</t>
  </si>
  <si>
    <t>Remove Existing Stone Pillars And Metal Gates From Right-Of-Way [EXIST. STONE PILLARS &amp; METAL GATES SHALL BE REMOVED FROM RIGHT-OF-WAY]  (Hardscape)  -- Ref: A0.02, C-1</t>
  </si>
  <si>
    <t>LS</t>
  </si>
  <si>
    <t>Remove Existing Stone Retaining Wall Remnant And Feather Out Grading To Match Adjacent Contours [EXIST. STONE RETAINING WALL REMNANT TO BE REMOVED. REFER TO ENG. DWGS.]  (Hardscape)  -- Ref: A0.02, C-1</t>
  </si>
  <si>
    <t>LF</t>
  </si>
  <si>
    <t>Remove Existing Driveway And Associated Steps [EXISTING DRIVEWAY AND ASSOCIATED STEPS TO BE REMOVED (TYP.)]  (Hardscape)  -- Ref: A0.10, C-1, C-5 Phase 1A</t>
  </si>
  <si>
    <t>SF</t>
  </si>
  <si>
    <t>Protect Existing Stone Walls To Remain Along North And South Property Lines And Existing Northwest Stone Retaining Wall [Not Specified]  (Site)  -- Ref: A0.02, C-1</t>
  </si>
  <si>
    <t>Protect And Maintain Existing Catch Basins And Drain Inlets To Remain [EXISTING DRAIN INLET TO REMAIN AND BE MAINTAINED]  (Site)  -- Ref: A0.02, C-1, C-2</t>
  </si>
  <si>
    <t>EA</t>
  </si>
  <si>
    <t>Protect Adjoining Public And Private Property From Damage During Demolition And Excavation [Not Specified]  (Site)  -- Ref: C-1 Gen. Note 12</t>
  </si>
  <si>
    <t>TRADE TOTAL</t>
  </si>
  <si>
    <t>CONCRETE</t>
  </si>
  <si>
    <t>03.30.00</t>
  </si>
  <si>
    <t>F/I Reinforced Concrete Foundation Walls And Footings At House Basement [REINFORCED CONC. FOUNDATION WALL &amp; FOOTING AS PER STR. ENG. DWGS]  (Foundation)  -- Ref: 02/A1.10, S-RL A1.10, SUPP Sec. 6.3</t>
  </si>
  <si>
    <t>CY</t>
  </si>
  <si>
    <t>F/I Spread Footings Bearing On Virgin Soil Or New Structural Fill [NET DESIGN BEARING PRESSURE 4,000 PSF; MINIMUM FROST DEPTH 42 INCHES]  (Foundation)  -- Ref: GEO Table 2</t>
  </si>
  <si>
    <t xml:space="preserve"> </t>
  </si>
  <si>
    <t>INCL</t>
  </si>
  <si>
    <t>Provide Smooth Troweled Finish At Basement Slab [CONC. SLAB W SMOOTH TROWELED FINISH IN PHASE 1.]  (Foundation)  -- Ref: A1.40</t>
  </si>
  <si>
    <t>F/I Crushed Stone Cushion Below Slab [CRUSHED STONE CUSHION THICKNESS 6 INCHES]  (Foundation)  -- Ref: GEO Table 4</t>
  </si>
  <si>
    <t>F/I Recessed Threshold Formed Into Concrete Foundation Wall And Formed Concrete Ledge At Sliding Door #003 [FORMED CONC. LEDGE PER STRUCT. TO SUPPORT MASONRY SILL ABOVE]  (Foundation)  -- Ref: 04/A0.24</t>
  </si>
  <si>
    <t>F/I Crushed Stone Footing [CRUSHED STONE FOOTING - DEPTH &amp; TYPE TBD BY GC PER LOCAL CODES]  (Foundation)  -- Ref: 02/A1.10</t>
  </si>
  <si>
    <t>F/I Concrete Pile Caps At Rear Deck [9'x9' PILE CAP W/ (4) PILES]  (Decks)  -- Ref: S-RL A1.10</t>
  </si>
  <si>
    <t>F/I Garage Foundation Walls, Frost Walls And Footings [PER STR. ENG. DWGS]  (Garage)  -- Ref: 02/A1.10, S-RL A1.10, 01/A3.00</t>
  </si>
  <si>
    <t>F/I Garage And Garage Storage Slab On Grade With Smooth Troweled Finish [CONC. SLAB W SMOOTH TROWELED FINISH]  (Garage)  -- Ref: A1.41, A2.10</t>
  </si>
  <si>
    <t>F/I Terrace Slab On Grade And Concrete Piers / Footings At Outdoor Living, Dining And Kitchen [SLAB ON GRADE]  (Foundation)  -- Ref: S-RL A1.11, 01/A2.10, SUPP Sec. 5</t>
  </si>
  <si>
    <t>Set Anchor Bolts For 2X8 Double Sill Plates On Foundation Walls [ANCHOR BOLTS PER STR. ENG. DWGS]  (Foundation)  -- Ref: A1.10 Gen. Note 01, 02/A1.10</t>
  </si>
  <si>
    <t>F/I Footings And Base Plate Anchorage For Structural Steel Posts [Not Specified]  (Foundation)  -- Ref: S-RL A1.11, S-RL A1.12</t>
  </si>
  <si>
    <t>03.40.00</t>
  </si>
  <si>
    <t>F/I Precast Concrete Sill Sloped To Drain On Mortar Bed With Weeps At Sliding Door #003 [PRECAST CONC. SILL, SLOPED TO DRAIN]  (Foundation)  -- Ref: 02/A0.24, 04/A0.24</t>
  </si>
  <si>
    <t>STRUCTURAL STEEL</t>
  </si>
  <si>
    <t>Paulie D</t>
  </si>
  <si>
    <t>05.12.00</t>
  </si>
  <si>
    <t>F/I Structural Steel Beams At First Floor Deck And Module D [W10x26; W12x65; W16x89]  (Decks)  -- Ref: S-RL A1.11, SUPP Sec. 6.5</t>
  </si>
  <si>
    <t>LB</t>
  </si>
  <si>
    <t>F/I Structural Steel Beams At Module Bearing Lines [W14X38; W14X68]  (House)  -- Ref: S-RL A1.11</t>
  </si>
  <si>
    <t>F/I Structural Steel Beams At Second Floor Overhang / Module E And F Support [W10X26; W10X22; W16X67; W16X89]  (House)  -- Ref: S-RL A1.12</t>
  </si>
  <si>
    <t>F/I Steel Tube Beams At Garage Roof Edge [HSS 9x5x1/4"]  (Garage)  -- Ref: S-RL A1.12</t>
  </si>
  <si>
    <t>Provide Moment Connections Where Indicated [MOMENT CONNECTION]  (House)  -- Ref: S-RL A1.11, S-RL A1.12, S-RL A1.13</t>
  </si>
  <si>
    <t>F/I P1 Structural Posts Supporting Second Floor Modules At Terrace [P1 - HSS 12x4x1/2"]  (House)  -- Ref: S-RL A1.11, A1.11 Keynote 1</t>
  </si>
  <si>
    <t>F/I P2 Structural Posts Supporting Deck / Overhang [P2 - (2) 2x6 STL. PLATE]  (Decks)  -- Ref: S-RL A1.11, A1.10 Keynote 4</t>
  </si>
  <si>
    <t>F/I P3 Posts At Front Stair Glazing [P3 - HSS 6x6x1/2"]  (House)  -- Ref: S-RL A1.11, S-RL A1.12</t>
  </si>
  <si>
    <t>F/I P4 Posts At Basement And Module Bearing Lines [P4 - HSS 5x5x1/4"]  (House)  -- Ref: S-RL A1.10, S-RL A1.11</t>
  </si>
  <si>
    <t>F/I P5 Posts At Garage And Garage Storage [P5 - HSS 5x5x1/2"]  (Garage)  -- Ref: S-RL A1.11, S-RL A1.12</t>
  </si>
  <si>
    <t>F/I Steel WF Columns On Pile Caps At Rear Deck [STEEL WF COLUMN]  (Decks)  -- Ref: S-RL A1.10, S-RL A1.11</t>
  </si>
  <si>
    <t>F/I Structural Steel Slats / Columns At Terrace Painted Black To Match Infill Panels [SHOP-APPLIED EPOXY PRIMER &amp; ALIPHATIC POLYURETHANE TOP COAT, OR APPR'D EQ APPROPRIATE FOR HIGH-EXPOSURE ENVIRONMENT.]  (Hardscape)  -- Ref: A0.10</t>
  </si>
  <si>
    <t>DECORATIVE METAL &amp; RAILINGS</t>
  </si>
  <si>
    <t>05.70.00</t>
  </si>
  <si>
    <t>Provide Shop Drawings</t>
  </si>
  <si>
    <t>F/I MTL-1 Black Steel Cladding At Center Stair Wall, All Sides [14 GA. HOT-ROLLED BLACK STEEL 5'X10' SHEETS]  (House)  -- Ref: A1.11, 01/A2.21, A0.10</t>
  </si>
  <si>
    <t>F/I MTL-1 Black Steel At Stair Floor And Slab Edges [14 GA. HOT-ROLLED BLACK STEEL]  (House)  -- Ref: 02/A2.20, 01/A2.21, A0.10</t>
  </si>
  <si>
    <t>F/I MTL-1 Black Steel Wall Cladding At Primary Bedroom 204 [14 GA. HOT-ROLLED BLACK STEEL]  (House)  -- Ref: 02/A4.03, 03/A4.03, 06/A4.03, A0.10</t>
  </si>
  <si>
    <t>Clean And Finish MTL-1 Black Steel With Hand-Rubbed Clear Stain And Varnish, Provide Sample For Architect Approval [CLEAN W/DEGREASER &amp; APPLY (2) COATS OLD VILLAGE 1400 CLEAR STAIN &amp; VARNISH (HAND-RUBBED W/CHEESECLOTH OR SIM.)]  (House)  -- Ref: A0.10</t>
  </si>
  <si>
    <t>F/I Custom Metal Handrail Brackets Powder-Coated White For Variable Depths At Window Posts And Wall [CUSTOM METAL BRACKETS POWDER-COATED WHITE]  (House)  -- Ref: 01/A2.20, SUPP Sec. 6.10</t>
  </si>
  <si>
    <t>05.73.00</t>
  </si>
  <si>
    <t>F/I Exterior Glass Guardrails In Concealed Recessed Base Shoe At Decks And Terrace [11/16" LAMINATED, FULLY TEMPERED LOW-IRON GLASS W/ POLISHED FLAT EDGES &amp; FACTORY-APPLIED HYDROPHOBIC COATING IN RECESSED BASE SHOE]  (Decks)  -- Ref: A0.10, A1.10-A1.12 Keynote 3, SUPP Sec. 6.6</t>
  </si>
  <si>
    <t>F/I Glass Guardrails At Roof Deck And Roof Access Stair [11/16" LAMINATED, FULLY TEMPERED LOW-IRON GLASS W/ POLISHED FLAT EDGES &amp; FACTORY-APPLIED HYDROPHOBIC COATING IN RECESSED BASE SHOE]  (House)  -- Ref: A2.00 Gen. Note 06, SUPP Sec. 8.4, A0.10</t>
  </si>
  <si>
    <t>F/I MTL-1 @ Stair -- Possible overlap w/ row 57 stair cladding - verify  -- Ref: Cost Detail (Almost Complete), added 2026-09-29</t>
  </si>
  <si>
    <t>F/I Engineered Blocking For Deck Railings  -- Ref: Cost Detail (Almost Complete), added 2026-09-29</t>
  </si>
  <si>
    <t>F/I 3x3x.25 Stainless Steel T-Bar 1' Long @ Stair Treads -- Prices unpriced row 66  -- Ref: Cost Detail (Almost Complete), added 2026-09-29</t>
  </si>
  <si>
    <t>F/I Cable Rail System @ Interior Stairs -- Prices unpriced row 65  -- Ref: Cost Detail (Almost Complete), added 2026-09-29</t>
  </si>
  <si>
    <t>ROUGH CARPENTRY</t>
  </si>
  <si>
    <t>06.10.00</t>
  </si>
  <si>
    <t>F/I Framing At Site-Built Stair Volume, Floors And Roof [PER DWGS]  (House)  -- Ref: A0.10, A0.00</t>
  </si>
  <si>
    <t>F/I Framing, Sheathing And Structure At Overhangs And Waterproof Decks [OVERHANGS / WATERPROOF DECKS W/ ASSOCIATED FRAMING, STRUCTURE, ROOFING, AND FINISHES AS PER PLANS]  (Decks)  -- Ref: A0.10</t>
  </si>
  <si>
    <t>F/I First Floor Deck Framing And Joists [1 3/4"x9 1/4" LVL @ 16" O.C.; 2x10 LVL @ 16" O.C.]  (Decks)  -- Ref: S-RL A1.11</t>
  </si>
  <si>
    <t>F/I Second Floor Deck Framing, Beams, Joists And Ledgers [(3) 1 3/4"x9 1/4" LVL; 2x10 @ 16" O.C.; LEDGER]  (Decks)  -- Ref: S-RL A1.12</t>
  </si>
  <si>
    <t>F/I Site-Built Roof Overhang And Roof Deck Perimeter Framing, Beams, Headers And Ledgers [(3) 1 3/4"x 11 7/8" LVL; (3) 1 3/4"x 9 1/4" LVL; 2x10 @ 16" O.C.; (2) 2x10 LEDGER]  (House)  -- Ref: S-RL A1.13, A1.12</t>
  </si>
  <si>
    <t>Provide Deck And Terrace Slope Framing [ALL DECK SLOPE BY GC TYP.]  (Decks)  -- Ref: A1.11, A1.12 Plan Notes</t>
  </si>
  <si>
    <t>F/I Covered Deck And Ramp At Outdoor Living [DECK &amp; RAMP BY G.C.]  (Decks)  -- Ref: 02/A2.00</t>
  </si>
  <si>
    <t>F/I Roof Overhang Framing At Garage Door And Outdoor Living [ROOF OVERHANG, BY G.C.]  (Garage)  -- Ref: 02/A2.01, 02/A2.00</t>
  </si>
  <si>
    <t>F/I Garage Exterior Wall Framing And Sheathing [1/2" ZIP SHEATHING OVER 2X6 FRAMING BY GC, TYP.]  (Garage)  -- Ref: 01/A3.00, A0.10</t>
  </si>
  <si>
    <t>F/I Garage Roof Framing, Beams And Ledger [14" TJI 360 @ 16" O.C.; (3) 1 3/4"X9 1/2" LVL]  (Garage)  -- Ref: 01/A3.00, S-RL A1.12</t>
  </si>
  <si>
    <t>I/O Factory-Panelized Parapet Walls / Curbs Shipped Loose And Provide Connections With Ply Panel [2X6 FRAMING, 1/2" EXT GRADE PLY. SHEATHING INSIDE AND OUTSIDE (PANELIZED &amp; SHIPPED LOOSE BY FACTORY, ON-SITE INSTALLATION &amp; CONNECTIONS BY GC)]  (House)  -- Ref: A0.10, A1.10-A1.13 Keynote 7, 02/A3.00, A5.01 Gen. Note 01</t>
  </si>
  <si>
    <t>F/I Roof Parapets Not Over Modules [Not Specified]  (House)  -- Ref: A2.00 Keynote 11</t>
  </si>
  <si>
    <t>F/I Wood Framing For Hung Ceilings And Exterior Sheathing At Stucco Ceilings [Not Specified]  (House)  -- Ref: A2.00 Keynote 9</t>
  </si>
  <si>
    <t>F/I 5/8" Plywood Roof Sheathing At Site-Built Roofs [EXTERIOR SHEATHING: 5/8" PLYWOOD]  (House)  -- Ref: A0.10</t>
  </si>
  <si>
    <t>F/I Interior Partition Framing Outside Modules [2X4 WOOD STUDS @ 16" O.C., U.O.N.]  (House)  -- Ref: A0.10</t>
  </si>
  <si>
    <t>F/I 2X Stud Framing At Basement Walls To Receive Wall-Mounted Equipment [WALLS TO RECEIVE WALL-MTD EQUIP TO BE FRAMED OUT W/ 2X STUDS AS INDICATED IN PHASE I.]  (House)  -- Ref: A1.10</t>
  </si>
  <si>
    <t>F/I Temporary Basement Walls [TEMPORARY WALLS &amp; DOOR IN PHASE 1 (AS HATCHED) - CONFIGURATION TBC]  (House)  -- Ref: A1.10, SUPP Sec. 2</t>
  </si>
  <si>
    <t>F/I Pressure Treated Wood Bucks And Plywood Pad-Out At Basement Openings #001, #002, #003 [2X6 P.T. WOOD BUCK, TYP.]  (House)  -- Ref: 01/A0.24, 02/A0.24, 03/A0.24</t>
  </si>
  <si>
    <t>F/I Blocking / Framing At Window Heads For Anchoring Tension Cable Rail [BLOCKING / FRAMING AS REQ'D. AT WINDOW HEAD FOR ANCHORING TENSION CABLE RAIL]  (House)  -- Ref: 01/A2.20</t>
  </si>
  <si>
    <t>F/I Blocking For 1-3/4" Trim Projection Where Window Trim Is Grouped With Adjacent Door Unit [Not Specified]  (House)  -- Ref: 03/A0.21</t>
  </si>
  <si>
    <t>F/I Blocking For Wall-Mounted TV Locations Outside Modules [Not Specified]  (House)  -- Ref: A1.30 Elec. Note 09</t>
  </si>
  <si>
    <t>F/I Double 2x8 Sill Plates With Bolts For Modular Attachment -- Prices unpriced row 71  -- Ref: Cost Detail (Almost Complete), added 2026-09-29</t>
  </si>
  <si>
    <t>2x6x12' Studs [Site-Built Exterior Walls]  -- Ref: Cost Detail (Almost Complete), added 2026-09-29</t>
  </si>
  <si>
    <t>2x6 Top Plates [Site-Built Exterior Walls]  -- Ref: Cost Detail (Almost Complete), added 2026-09-29</t>
  </si>
  <si>
    <t>2x6 Bottom Plates [Site-Built Exterior Walls]  -- Ref: Cost Detail (Almost Complete), added 2026-09-29</t>
  </si>
  <si>
    <t>Zip 1/2" Sheathing (4x12) [Site-Built Exterior Walls]  -- Ref: Cost Detail (Almost Complete), added 2026-09-29</t>
  </si>
  <si>
    <t>2x4x9' Studs [Interior Partitions]  -- Ref: Cost Detail (Almost Complete), added 2026-09-29</t>
  </si>
  <si>
    <t>2x4 Top Plates [Interior Partitions]  -- Ref: Cost Detail (Almost Complete), added 2026-09-29</t>
  </si>
  <si>
    <t>2x4 Bottom Plates [Interior Partitions]  -- Ref: Cost Detail (Almost Complete), added 2026-09-29</t>
  </si>
  <si>
    <t>2x4x9' Studs [Misc. Framing]  -- Ref: Cost Detail (Almost Complete), added 2026-09-29</t>
  </si>
  <si>
    <t>2x4 Top Plates [Misc. Framing]  -- Ref: Cost Detail (Almost Complete), added 2026-09-29</t>
  </si>
  <si>
    <t>2x4 Bottom Plates [Misc. Framing]  -- Ref: Cost Detail (Almost Complete), added 2026-09-29</t>
  </si>
  <si>
    <t>2x6x9' Studs [Misc. Framing]  -- Ref: Cost Detail (Almost Complete), added 2026-09-29</t>
  </si>
  <si>
    <t>2x6 Top Plates [Misc. Framing]  -- Ref: Cost Detail (Almost Complete), added 2026-09-29</t>
  </si>
  <si>
    <t>2x6 Bottom Plates [Misc. Framing]  -- Ref: Cost Detail (Almost Complete), added 2026-09-29</t>
  </si>
  <si>
    <t>DECKING</t>
  </si>
  <si>
    <t>06.15.00</t>
  </si>
  <si>
    <t>F/I FL-2 Ipe Decking At First And Second Floor Decks With Concealed Fasteners [IPE, PRE-GROOVED 5/4 X 6 W/ CONCEALED FASTENERS (TIGERCLAW OR SIM.)]  (Decks)  -- Ref: A0.10 Finish Sch., A1.41, A1.42</t>
  </si>
  <si>
    <t>F/I Deck Pedestals / Sleepers Over EPDM At Decks Over Roofing [Not Specified]  (Decks)  -- Ref: 10/A5.00</t>
  </si>
  <si>
    <t>Provide Samples Of Decking For Owner / Architect Approval [Not Specified]  (Decks)  -- Ref: A0.10 Finish Sch.</t>
  </si>
  <si>
    <t>F/I Ipe Cladding At Roof Access Stair [FINISHED IPE-CLAD STAIR]  (House)  -- Ref: SUPP Sec. 8.4</t>
  </si>
  <si>
    <t>FINISH CARPENTRY &amp; STAIRS</t>
  </si>
  <si>
    <t>06.20.00</t>
  </si>
  <si>
    <t>F/I Cedar Top Rail On Cedar Posts At Parapet Railing [2X12 CEDAR TOP RAIL ATTACHED TO CEDAR POSTS WITH (2) #12 X 6" S.S. SCREWS @ EACH POST]  (House)  -- Ref: 09/A5.00</t>
  </si>
  <si>
    <t>06.43.00</t>
  </si>
  <si>
    <t>F/I Butcher Block Stair Treads [BUTCHER BLOCK STAIR TREADS - REF. GENERAL NOTES.]  (House)  -- Ref: 01/A2.20</t>
  </si>
  <si>
    <t>I/O Factory-Supplied Pressure Treated Roof Access Stair And F/I Stair Handrail [Not Specified]  (House)  -- Ref: SBS 5-4, SUPP Sec. 8.4</t>
  </si>
  <si>
    <t>F/I Cedar Plank Ceiling -- Prices unpriced row 106  -- Ref: Cost Detail (Almost Complete), added 2026-09-29</t>
  </si>
  <si>
    <t>F/I Interior Window Trim -- Prices unpriced row 107  -- Ref: Cost Detail (Almost Complete), added 2026-09-29</t>
  </si>
  <si>
    <t>I/O Factory Supplied Trim -- Prices unpriced row 109  -- Ref: Cost Detail (Almost Complete), added 2026-09-29</t>
  </si>
  <si>
    <t>F/I Cedar Slat Wall -- Prices unpriced row 113  -- Ref: Cost Detail (Almost Complete), added 2026-09-29</t>
  </si>
  <si>
    <t>F/I Cedar Coping @ Roof Deck -- Prices unpriced row 112  -- Ref: Cost Detail (Almost Complete), added 2026-09-29</t>
  </si>
  <si>
    <t>F/I Interior Stair Rail [1 1/2" Round White Oak] -- Prices unpriced row 118  -- Ref: Cost Detail (Almost Complete), added 2026-09-29</t>
  </si>
  <si>
    <t>06.40.00</t>
  </si>
  <si>
    <t>F/I Vanity Bar Pulls At Powder Room And Guest Baths [TOP KNOBS 18" SQ. BAR PULLS SATIN NICKEL, BY GC]  (House)  -- Ref: 02/A4.01, 07/A4.01, 08/A4.05, 12/A4.05</t>
  </si>
  <si>
    <t>F/I Second Additional 21" Pull Handle On Trash Pull Out To Match [21" SUBZERO TUBULAR HANDLES 7025231]  (House)  -- Ref: A0.11 03 (DW Remark)</t>
  </si>
  <si>
    <t>Provide Coordination Of Closet Factory Shop Drawings [Not Specified]  (House)  -- Ref: A0.10 Finish Sch.</t>
  </si>
  <si>
    <t>Millwork Shop Drawings Indoor/Outdoor/Closets  -- Ref: Cost Detail (Almost Complete), added 2026-09-29</t>
  </si>
  <si>
    <t>Assemble And I/O Factory-Supplied WD-1 White Oak Foyer Millwork Sleeve  -- Ref: Cost Detail (Almost Complete), added 2026-09-29</t>
  </si>
  <si>
    <t>I/O Factory-Supplied Integrated Appliance Millwork Panels  -- Ref: Cost Detail (Almost Complete), added 2026-09-29</t>
  </si>
  <si>
    <t>F/I Storage Cabinets @ Garage Storage  -- Ref: Cost Detail (Almost Complete), added 2026-09-29</t>
  </si>
  <si>
    <t>F/I Outdoor Kitchen Base Cabinets  -- Ref: Cost Detail (Almost Complete), added 2026-09-29</t>
  </si>
  <si>
    <t>F/I Closet Shelves [WHITE MELAMINE] -- Closet interiors: SUPP 6.9 Owner allowance is $33,000  -- Ref: Cost Detail (Almost Complete), added 2026-09-29</t>
  </si>
  <si>
    <t>F/I Closet Hanging Rods [ SATIN NICKEL]  -- Ref: Cost Detail (Almost Complete), added 2026-09-29</t>
  </si>
  <si>
    <t>F/I Closet Insert Drawer [WHITE MELAMINE-1'8"]  -- Ref: Cost Detail (Almost Complete), added 2026-09-29</t>
  </si>
  <si>
    <t>F/I Closet Insert Drawer [WHITE MELAMINE-3']  -- Ref: Cost Detail (Almost Complete), added 2026-09-29</t>
  </si>
  <si>
    <t>F/I Closet Insert Drawer [WHITE MELAMINE-2'2"]  -- Ref: Cost Detail (Almost Complete), added 2026-09-29</t>
  </si>
  <si>
    <t>F/I Closet Shoe Pull Out [WHITE MELAMINE]  -- Ref: Cost Detail (Almost Complete), added 2026-09-29</t>
  </si>
  <si>
    <t>F/I Closet Full Height Panels [WHITE MELAMINE]  -- Ref: Cost Detail (Almost Complete), added 2026-09-29</t>
  </si>
  <si>
    <t>F/I Vanity [WHITE MELAMINE]  -- Ref: Cost Detail (Almost Complete), added 2026-09-29</t>
  </si>
  <si>
    <t>WATERPROOFING &amp; FOUNDATION DRAINAGE</t>
  </si>
  <si>
    <t>07.10.00</t>
  </si>
  <si>
    <t>F/I Dampproofing On Outside Face Of Below-Grade Foundation Walls [DAMP-PROOFING ON CONC. FOUNDATION WALL AS REQ'D]  (Foundation)  -- Ref: GEO p.11, 01/A0.24</t>
  </si>
  <si>
    <t>F/I Waterproofing Membrane And Drainage Mat At Foundation Walls As Required [WATERPROOFING MEMBRANE &amp; DRAINAGE MAT AS REQ'D.]  (Foundation)  -- Ref: 02/A1.10, 02/A3.00</t>
  </si>
  <si>
    <t>33.46.00</t>
  </si>
  <si>
    <t>F/I Perforated PVC Foundation Drain In Crushed Stone Wrapped In Geotextile, Discharge To Daylight Or Storm System [MINIMUM 4-INCH DIAMETER RIGID WALL PERFORATED PVC PIPE SURROUNDED BY AT LEAST 12 INCHES OF 3/4-INCH CLEAN CRUSHED STONE WRAPPED IN GEOTEXTILE (MIRAFI 140N OR EQUIVALENT)]  (Foundation)  -- Ref: 02/A1.10, GEO p.11</t>
  </si>
  <si>
    <t>INSULATION</t>
  </si>
  <si>
    <t>07.21.00</t>
  </si>
  <si>
    <t>F/I Spray Foam Insulation At Gaps At Exterior Walls, Windows And Between Modules After Set [Not Specified]  (House)  -- Ref: A1.11 Gen. Note 07, SUPP Sec. 4</t>
  </si>
  <si>
    <t>F/I Sound Attenuation Insulation At Partitions Outside Modules [R-13 SOUND ATTENUATION]  (House)  -- Ref: A0.10</t>
  </si>
  <si>
    <t>F/I Framing, Sheathing And Insulation At Stair Volume Roof [FLASH &amp; BATT: 2" FOMO SPRAY FOAM INSUL. + R-21 FIBERGLASS BATT INSUL. (R-49 TOTAL MINIMUM- INCLUDES CONT. TAPERED RIGID INSULATION.)]  (House)  -- Ref: A0.10</t>
  </si>
  <si>
    <t>F/I Flash And Batt Insulation In Garage Roof Cavity [FLASH &amp; BATT INSULATION IN ROOF CAVITY AS SPEC'D]  (Garage)  -- Ref: 01/A3.00</t>
  </si>
  <si>
    <t>F/I Closed-Cell Spray Foam Insulation At North First Floor Deck Over Basement [CLOSED-CELL SPRAY FOAM INSULATION UP TO R-70, PENDING RESCHECK/ENERGY CALCULATIONS]  (Decks)  -- Ref: SUPP Sec. 6.12</t>
  </si>
  <si>
    <t>F/I Rigid Insulation Behind Siding 1.5" Comfort Board -- Prices unpriced row 146  -- Ref: Cost Detail (Almost Complete), added 2026-09-29</t>
  </si>
  <si>
    <t>R-21 Batt Wall Insulation -- Prices unpriced row 147  -- Ref: Cost Detail (Almost Complete), added 2026-09-29</t>
  </si>
  <si>
    <t>F/I Batt Insulation, R-30 -- Prices unpriced row 148  -- Ref: Cost Detail (Almost Complete), added 2026-09-29</t>
  </si>
  <si>
    <t>F/I R-84 Closed Cell Spray Foam -- Prices unpriced row 149  -- Ref: Cost Detail (Almost Complete), added 2026-09-29</t>
  </si>
  <si>
    <t>EIFS &amp; STUCCO</t>
  </si>
  <si>
    <t>07.24.00</t>
  </si>
  <si>
    <t>F/I S-3 EIFS At Exposed Concrete Foundation Walls [1/4" THICK BASE + FINISH COATS W/ EMBEDDED FIBERGLASS REINFORCING MESH OVER 3" THK. CONT. INSUL. &amp; 1/4" DRAINAGE PLANE BEHIND]  (Foundation)  -- Ref: A0.10 Finish Sch. S-3, 02/A1.10, 02/A3.00, A0.24</t>
  </si>
  <si>
    <t>09.24.00</t>
  </si>
  <si>
    <t>F/I S-5 Exterior Stucco Ceilings At Terrace, Deck And Soffit Undersides [7/8" THICK PAREX 3-COAT STUCCO ASSEMBLY W/ ELASTOMERIC FINISH; FINISH COLOR: "SNOWBALL" 10400L (75); FINISH TEXTURE: "SAND FINE"]  (House)  -- Ref: A0.10 Finish Sch. S-5, A2.00 Keynote 9, A1.20-A1.22</t>
  </si>
  <si>
    <t>Provide Samples Of Stucco Finish For Architect Approval [Not Specified]  (House)  -- Ref: A0.10 Finish Sch.</t>
  </si>
  <si>
    <t>Parge All Exposed Concrete Foundation Walls [1/4" PARGE OVER CONCRETE FOUNDATION WALL]  (Garage)  -- Ref: A2.00 Gen. Note 05, 01/A3.00</t>
  </si>
  <si>
    <t>SIDING &amp; WEATHER BARRIERS</t>
  </si>
  <si>
    <t>07.25.00</t>
  </si>
  <si>
    <t>Complete Exterior Air / Water Barrier At Module Joints [Not Specified]  (House)  -- Ref: SUPP Sec. 4</t>
  </si>
  <si>
    <t>F/I Rain Slicker Behind Infill Panels [BENJAMIN OBDYKE RAINSLICKER (OR APPR'D EQ)]  (House)  -- Ref: A0.10, 01/A0.21</t>
  </si>
  <si>
    <t>07.46.00</t>
  </si>
  <si>
    <t>F/I S-1 Black Cedar Siding Installed Horizontally On P.T. Furring Over Continuous Insulation [WESTERN RED CEDAR, GRADE A CLEAR OR BETTER 1X6 T&amp;G]  (House)  -- Ref: A0.10, A2.00, A2.01</t>
  </si>
  <si>
    <t>F/I S-1 Black Cedar Siding At Garage [WESTERN RED CEDAR, GRADE A CLEAR OR BETTER 1X6 T&amp;G]  (Garage)  -- Ref: A2.00, A2.01, A0.10</t>
  </si>
  <si>
    <t>F/I Rainscreen Siding Vent / Insect Screen At Top And Bottom Of Siding [COR-A-VENT SV-5 RAINSCREEN SIDING VENT / INSECT SCREEN]  (House)  -- Ref: 01/A0.21</t>
  </si>
  <si>
    <t>F/I S-4 Window Infill Panels Over ZIP Sheathing With Stainless Steel Fasteners And Trim Rings [5/8" MEDIUM DENSITY OVERLAY (MDO) PTD. BLACK]  (House)  -- Ref: A0.10 Finish Sch. S-4, A5.01</t>
  </si>
  <si>
    <t>F/I 2X Cedar Exterior Window Trim, Mitered Corners, Beveled Sills With Drip Groove [2X4 CEDAR TRIM W/ BEVELED TOP TO SHED WATER &amp; DRIP GROOVE BELOW]  (House)  -- Ref: A0.10, A0.20 Gen. Note 13, A0.21</t>
  </si>
  <si>
    <t>F/I 2X6 Cedar Exterior Trim At Basement Openings #001, #002, #003 [2X6 CEDAR TRIM]  (House)  -- Ref: A0.24</t>
  </si>
  <si>
    <t>F/I P.T. Furring At Outside Corners And Metal Corner Keys At Mitered Siding [FRY REGLET CORNER KEY PCM-75-75-150 (BLACK)]  (House)  -- Ref: 09/A0.22, 03/A0.23</t>
  </si>
  <si>
    <t>F/I Temporary MDO Board Painted To Match Siding At Interior Face Of Roof Deck Parapets [3/4" THK. MDO BOARD PTD TO MATCH SIDING. OVER SPEC'D RAINSLICKER/ CEDAR BREATHER.]  (House)  -- Ref: 09/A5.00, SUPP Sec. 7.5</t>
  </si>
  <si>
    <t>Tyvek HomeWrap [Site-Built Exterior Walls]  -- Ref: Cost Detail (Almost Complete), added 2026-09-29</t>
  </si>
  <si>
    <t>ROOFING &amp; SHEET METAL</t>
  </si>
  <si>
    <t>07.53.23</t>
  </si>
  <si>
    <t>F/I All Roofing Outside Modules Including Stair Volume And Site-Built Overhangs [CARLISLE SYNTEC SURE-SEAL FULLY ADHERED 60 MIL. REINFORCED EPDM ROOFING SYSTEM OR APPROVED EQ.]  (House)  -- Ref: A2.00 Keynote 10, A0.10</t>
  </si>
  <si>
    <t>F/I EPDM Roofing At Garage Roof [SPEC'D. EPDM ROOFING INSTALLED AND FINISHED ON SITE AT MATE LINES AND PARAPETS]  (Garage)  -- Ref: 01/A3.00</t>
  </si>
  <si>
    <t>F/I Tapered Rigid Insulation At Roofs Outside Modules [RIGID HIGH LOAD EXTRUDED POLYSTYRENE INSULATION BY STYROFOAM OR APPROVED EQ.; TAPERED TO DRAIN FOR 1/4" PER FOOT SLOPE MIN.]  (House)  -- Ref: A0.10, 10/A5.00</t>
  </si>
  <si>
    <t>F/I EPDM Waterproofing At Second Floor Deck And Waterproof Decks Over Occupied Space [60 MIL REINFORCED EPDM MEMBRANE FULLY ADHERED TO RIGID INSULATION]  (Decks)  -- Ref: A0.10, 10/A5.00</t>
  </si>
  <si>
    <t>F/I Roofing At Portion Of North First Floor Deck Over Basement [Not Specified]  (Decks)  -- Ref: SUPP Sec. 6.12</t>
  </si>
  <si>
    <t>I/O Factory-Supplied Roof Cavity Breather Vents [MARATHON M-105 2-WAY BREATHER VENT]  (House)  -- Ref: SBS 4-14</t>
  </si>
  <si>
    <t>Remove Factory Roof Drain Plugs After Set [OATEY #78033 3" PVC ROOF DRAINS W/ ABS DOME &amp; DOME COLLAR. (GC TO REMOVE PLUGS AFTER SET.)]  (House)  -- Ref: A0.10 Plumbing</t>
  </si>
  <si>
    <t>07.62.00</t>
  </si>
  <si>
    <t>F/I Window And Door Flashing [ALUMINUM MILL FINISH, 0.024" THICK MIN, COLOR TO MATCH WINDOWS]  (House)  -- Ref: A0.10</t>
  </si>
  <si>
    <t>F/I All Visible Flashing [LEAD-COATED COPPER, 24 GAUGE THICK MIN.]  (House)  -- Ref: A0.10</t>
  </si>
  <si>
    <t>F/I Lead-Coated Copper Sill Pans Under Doors With Soldered Back And End Dams [LEAD-COATED COPPER SILL PAN UNDER DOOR W/ FORMED BACK DAM &amp; END DAMS (SOLDERED AT CORNERS)]  (House)  -- Ref: 04/A0.21, 05/A0.21, 04/A0.24</t>
  </si>
  <si>
    <t>F/I Metal Drip Edge Flashing Above All Horizontal Cedar Trim [Not Specified]  (House)  -- Ref: A2.00 Gen. Note 03</t>
  </si>
  <si>
    <t>F/I Metal Flashing And Drip Edge At Base Of Siding [METAL FLASHING AND DRIP EDGE - PAINT TO MATCH SIDING]  (House)  -- Ref: 02/A3.00</t>
  </si>
  <si>
    <t>F/I Metal Head And Sill Flashing At Basement Openings [METAL FLASHING W/ DRIP EDGE, REAR LEG SEALED TO CONC.]  (House)  -- Ref: 03/A0.24, 04/A0.24</t>
  </si>
  <si>
    <t>Complete Roofing @ Mate Lines -- Prices unpriced row 182  -- Ref: Cost Detail (Almost Complete), added 2026-09-29</t>
  </si>
  <si>
    <t>F/I Lead Coated Copper Coping @ Parapet Walls -- Prices unpriced row 194  -- Ref: Cost Detail (Almost Complete), added 2026-09-29</t>
  </si>
  <si>
    <t>F/I Lead Coated Copper Coping @ Parapet Walls (2nd area)  -- Ref: Cost Detail (Almost Complete), added 2026-09-29</t>
  </si>
  <si>
    <t>F/I EPDM Flashing @ Parapet Walls -- Uncoded in Cost Detail  -- Ref: Cost Detail (Almost Complete), added 2026-09-29</t>
  </si>
  <si>
    <t>DOORS, FRAMES &amp; HARDWARE</t>
  </si>
  <si>
    <t>08.14.16</t>
  </si>
  <si>
    <t>F/O Basement Door 000A [SOLID CORE FLUSH PANEL, PAINT GRADE 3'-0'' X 7'-8 1/2'' 1 3/4'']  (House)  -- Ref: A0.30 Door 000A</t>
  </si>
  <si>
    <t>F/O Garage Storage Door 112A [SOLID CORE FLUSH PANEL, PAINT GRADE 3'-0'' X 7'-8 1/2'' 1 3/4'']  (Garage)  -- Ref: A0.30 Door 112A</t>
  </si>
  <si>
    <t>08.71.00</t>
  </si>
  <si>
    <t>F/O Passage Levers And Hinges At Doors 000A And 112A [OMNIA LEVER 912MD W/ MODERN ROUND ROSE (US15 SATIN NICKEL), PASSAGE; H.D. REMOVABLE PIN HINGE, SQUARE, SATIN S.S.]  (House)  -- Ref: A0.30 Doors 000A, 112A</t>
  </si>
  <si>
    <t>F/O All Door Stops [OMNIA 7000 MODERN FLOOR DOOR STOP (US15 SATIN NICKEL)]  (House)  -- Ref: A0.30 Gen. Door Note 01</t>
  </si>
  <si>
    <t>F/O All Closet Door Pulls And Grilles [FTF - D MIN PULL (WHITE) DP-D-PW-6]  (House)  -- Ref: A0.30 Gen. Door Note 02</t>
  </si>
  <si>
    <t>Provide Keying Of All Doors Alike [Not Specified]  (House)  -- Ref: A0.20 Gen. Note 04</t>
  </si>
  <si>
    <t>F/O Pocket Door 104A [SOLID CORE FLUSH PANEL, PAINT GRADE]  (House)  -- Ref: Takeoff only, no SOW match</t>
  </si>
  <si>
    <t>F/O Soft-Close Pocket Door Hardware At Door 104A [JOHNSON 1500SC]  (House)  -- Ref: Takeoff only, no SOW match</t>
  </si>
  <si>
    <t>OVERHEAD GARAGE DOOR</t>
  </si>
  <si>
    <t>08.36.13</t>
  </si>
  <si>
    <t>F/I Insulated Overhead Garage Door 113A With Track As Required And Black Weather Seals [CLOPAY "MODERN STEEL" INSULATED OVERHEAD GARAGE DOOR #9208, SOLID FLUSH PANELS, STUCCO TEXTURE, BLACK 20'-0" X 9'-0" 2"]  (Garage)  -- Ref: A0.30 Door 113A</t>
  </si>
  <si>
    <t>F/I Garage Door Opener [LIFTMASTER PREMIUM SERIES #6690L 1-1/4 HP BELT DRIVE OPENER W/ BATTERY BACKUP, 360 CAMERA, 360 LED LIGHTING &amp; MYQ CONNECTIVITY]  (Garage)  -- Ref: A0.30 Door 113A</t>
  </si>
  <si>
    <t>WINDOWS</t>
  </si>
  <si>
    <t>08.50.00</t>
  </si>
  <si>
    <t>F/I Smart Keypad Lock At Door #128 [YALE ASSURE SMART KEYPAD LOCK]  (Garage)  -- Ref: A0.20 #128</t>
  </si>
  <si>
    <t>Provide Tempered Glazing Where Scheduled, Aluminum Drip Caps, Nailing Fins, Marine Grade Hardware And Screens At Operable Units [DUAL-PANE, ARGON-FILLED INSULATING UNITS WITH LOW-E2 COATINGS]  (House)  -- Ref: A0.20 Gen. Notes 03-06</t>
  </si>
  <si>
    <t>GLASS &amp; GLAZING</t>
  </si>
  <si>
    <t>08.80.00</t>
  </si>
  <si>
    <t>08.83.00</t>
  </si>
  <si>
    <t>F/O Glass Shower Door [2'-9 1/2" x 8' - CRL Senior Cardiff Pivot Hinges SRCAR01BN; CRL SQ6X18BN Pull/Towel Bar] -- Prices unpriced row 232  -- Ref: Cost Detail (Almost Complete), added 2026-09-29</t>
  </si>
  <si>
    <t>F/O Glass Shower Door [2'-4" x 8' - CRL Senior Cardiff Pivot Hinges SRCAR01BN; CRL SQ6X18BN Pull/Towel Bar]  -- Ref: Cost Detail (Almost Complete), added 2026-09-29</t>
  </si>
  <si>
    <t>F/O Glass Shower Door [2'-7" x 8' - CRL Senior Cardiff Pivot Hinges SRCAR01BN; CRL SQ6X18BN Pull/Towel Bar]  -- Ref: Cost Detail (Almost Complete), added 2026-09-29</t>
  </si>
  <si>
    <t>I/O Glass Shower Doors  -- Ref: Cost Detail (Almost Complete), added 2026-09-29</t>
  </si>
  <si>
    <t>F/I Mirror Primary Vanity -- Prices unpriced row 237  -- Ref: Cost Detail (Almost Complete), added 2026-09-29</t>
  </si>
  <si>
    <t>DRYWALL &amp; CARPENTRY</t>
  </si>
  <si>
    <t>09.20.00</t>
  </si>
  <si>
    <t>F/I Interior Wall GWB Outside Modules, Taped, Spackled And Primed [1/2" GWB (TAPED, SPACKLED &amp; PRIMED)]  (House)  -- Ref: A0.10</t>
  </si>
  <si>
    <t>F/I Interior Ceiling GWB Outside Modules, Taped, Spackled And Primed [5/8" GWB TAPED, SPACKLED &amp; PRIMED]  (House)  -- Ref: A0.10</t>
  </si>
  <si>
    <t>F/I GWB On Underside Of Garage Roof Framing [5/8" GWB ON UNDERSIDE OF FRAMING, BY GC]  (Garage)  -- Ref: 01/A3.00</t>
  </si>
  <si>
    <t>F/I GWB At Temporary Basement Walls [Not Specified]  (House)  -- Ref: A1.10, SUPP Sec. 2</t>
  </si>
  <si>
    <t>F/I GWB And 2X4 Furring On Flat At Basement Window And Door Returns [1/2" PTD. GWB; 2X4 FURRING ON FLAT, TYP.]  (House)  -- Ref: 01/A0.24, 02/A0.24</t>
  </si>
  <si>
    <t>I/O Basement Door 000A And Garage Storage Door 112A With Paint Grade Frames [Not Specified]  (House)  -- Ref: A0.30 Doors 000A, 112A</t>
  </si>
  <si>
    <t>I/O Factory-Supplied Pocket Door 104A And Hardware Shipped Loose [JOHNSON 1500SC SOFT CLOSE POCKET DOOR HARDWARE W/ INTEGRAL BUMPER &amp; HIDDEN DOOR GUIDE]  (House)  -- Ref: A0.30 Door 104A</t>
  </si>
  <si>
    <t>I/O Factory-Supplied Pocket Door 105A Shipped Loose At Mate Line [Not Specified]  (House)  -- Ref: A0.30, 01/A4.01</t>
  </si>
  <si>
    <t>I/O Door Hardware, Door Stops, Closet Door Pulls And Grilles [Not Specified]  (House)  -- Ref: A0.30</t>
  </si>
  <si>
    <t>I/O Owner-Supplied Wall-Mounted TV And Mount [Not Specified]  (House)  -- Ref: A1.30 Elec. Note 09</t>
  </si>
  <si>
    <t>Provide Delivery Acceptance And Coordination Of Owner-Supplied TV And Mount [Not Specified]  (House)  -- Ref: A1.30 Elec. Note 09</t>
  </si>
  <si>
    <t>Tape &amp; Spackle Module Mate Lines -- Prices unpriced row 246  -- Ref: Cost Detail (Almost Complete), added 2026-09-29</t>
  </si>
  <si>
    <t>5/8" Type X Drywall 4x8 [1,419 SF Walls]  -- Ref: Cost Detail (Almost Complete), added 2026-09-29</t>
  </si>
  <si>
    <t>Taping &amp; Finishing, Level 4 [1,419 SF Walls]  -- Ref: Cost Detail (Almost Complete), added 2026-09-29</t>
  </si>
  <si>
    <t>1/2" Standard Drywall 4x10 [532 SF]  -- Ref: Cost Detail (Almost Complete), added 2026-09-29</t>
  </si>
  <si>
    <t>Taping &amp; Finishing, Level 4 [532 SF]  -- Ref: Cost Detail (Almost Complete), added 2026-09-29</t>
  </si>
  <si>
    <t>1/2" Standard Drywall 4x10 [97 SF]  -- Ref: Cost Detail (Almost Complete), added 2026-09-29</t>
  </si>
  <si>
    <t>Taping &amp; Finishing, Level 4 [97 SF]  -- Ref: Cost Detail (Almost Complete), added 2026-09-29</t>
  </si>
  <si>
    <t>1/2" Standard Drywall 4x10 [448 SF]  -- Ref: Cost Detail (Almost Complete), added 2026-09-29</t>
  </si>
  <si>
    <t>Taping &amp; Finishing, Level 4 [448 SF]  -- Ref: Cost Detail (Almost Complete), added 2026-09-29</t>
  </si>
  <si>
    <t>I/O Bath Accessories -- Prices unpriced row 253  -- Ref: Cost Detail (Almost Complete), added 2026-09-29</t>
  </si>
  <si>
    <t>TILE</t>
  </si>
  <si>
    <t>09.30.00</t>
  </si>
  <si>
    <t>F/I T-3 Large Format Floor Tile At Foyer, Mudroom, Guest Bedroom 1, Kitchen And Living / Dining [DALTILE HAUT MONDE EMPIRE BLACK UNPOLISHED HM06 24X48 1/16" JOINTS]  (House)  -- Ref: A1.41, A0.10 Finish Sch., A1.40 Gen. Note 04</t>
  </si>
  <si>
    <t>Provide Floor Tile Continuous Under All Countertops, Desktops And Floating Cabinets [Not Specified]  (House)  -- Ref: A1.40 Gen. Note 06</t>
  </si>
  <si>
    <t>Provide Single Cut Tile In Door Openings As Flush Threshold And Start Floor Tile Centered On Door Openings [GC TO USE SINGLE CUT TILE IN DOOR OPNG AS FLUSH THRESHOLD]  (House)  -- Ref: 01/A4.01</t>
  </si>
  <si>
    <t>Coordinate Tile Transitions At Mate Lines With Factory-Completed Bathroom Tile [Not Specified]  (House)  -- Ref: 01/A4.01</t>
  </si>
  <si>
    <t>WOOD FLOORING</t>
  </si>
  <si>
    <t>09.64.00</t>
  </si>
  <si>
    <t>F/I FL-1 Site-Finished Solid White Oak Flooring At Second Floor Rooms, Hall And Closets [SOLID WHITE OAK, SELECT GRADE &amp; BETTER W/ LIGHT STAIN &amp; ACRYLIC SEALER 3/4" THK, 5" BOARDS]  (House)  -- Ref: A1.42, A0.10 Finish Sch.</t>
  </si>
  <si>
    <t>Provide Samples For Owner / Architect Approval [Not Specified]  (House)  -- Ref: A0.10 Finish Sch.</t>
  </si>
  <si>
    <t>PAINTING</t>
  </si>
  <si>
    <t>09.90.00</t>
  </si>
  <si>
    <t>Prep And Paint Interior Walls, 3 Coats [BENJAMIN MOORE AURA WATERBORNE INTERIOR PAINT - MATTE FINISH (522); COLOR TBD]  (House)  -- Ref: A0.10</t>
  </si>
  <si>
    <t>Prep And Paint Bathrooms, 3 Coats [BENJAMIN MOORE AURA BATH &amp; SPA WATERBORNE INTERIOR PAINT - MATTE FINISH (532); COLOR TBD]  (House)  -- Ref: A0.10</t>
  </si>
  <si>
    <t>Provide Stain Samples For Architect Approval [Not Specified]  (House)  -- Ref: A0.10 Finish Sch.</t>
  </si>
  <si>
    <t>Prep And Paint Exposed Surfaces Around Mirror Lights To Match Wall Color [Not Specified]  (House)  -- Ref: 04/A4.01</t>
  </si>
  <si>
    <t>Interior Painting, Ceilings (2 Coats) -- Prices unpriced row 275  -- Ref: Cost Detail (Almost Complete), added 2026-09-29</t>
  </si>
  <si>
    <t>Interior Painting, Walls (2 Coats)  -- Ref: Cost Detail (Almost Complete), added 2026-09-29</t>
  </si>
  <si>
    <t>Primer + 2 Coat (Roll) [1,419 SF Walls]  -- Ref: Cost Detail (Almost Complete), added 2026-09-29</t>
  </si>
  <si>
    <t>Primer + 2 Coat (Roll) [532 SF]  -- Ref: Cost Detail (Almost Complete), added 2026-09-29</t>
  </si>
  <si>
    <t>Primer + 2 Coat (Roll) [97 SF]  -- Ref: Cost Detail (Almost Complete), added 2026-09-29</t>
  </si>
  <si>
    <t>Primer + 2 Coat (Roll) [448 SF]  -- Ref: Cost Detail (Almost Complete), added 2026-09-29</t>
  </si>
  <si>
    <t>Fill Nail Holes, Caulk &amp; Paint Factory Installed Doors &amp; Trim -- Prices unpriced row 278  -- Ref: Cost Detail (Almost Complete), added 2026-09-29</t>
  </si>
  <si>
    <t>Paint All Window and Base Trim -- Prices unpriced row 277  -- Ref: Cost Detail (Almost Complete), added 2026-09-29</t>
  </si>
  <si>
    <t>Stain &amp; Seal S-1 Cedar Siding -- Prices unpriced row 279; uncoded in Cost Detail  -- Ref: Cost Detail (Almost Complete), added 2026-09-29</t>
  </si>
  <si>
    <t>Stain &amp; Seal S-2 Cedar Ceilings -- Prices unpriced row 280; uncoded in Cost Detail  -- Ref: Cost Detail (Almost Complete), added 2026-09-29</t>
  </si>
  <si>
    <t>SPECIALTIES</t>
  </si>
  <si>
    <t>10.28.13</t>
  </si>
  <si>
    <t>F/O Grab Bars At Guest Bath 1 (3) 40" And (1) 54", Guest Bath 2 (1) 54", Guest Bath 3 (1) 54" [KOHLER CHOREOGRAPH K-97627-BNK / K-97628-BNK BRUSHED NICKEL]  (House)  -- Ref: A0.11 04</t>
  </si>
  <si>
    <t>F/O Toilet Paper Holders At Guest Bath 1, Powder Room, Primary Bath, Guest Bath 2, Guest Bath 3 [KOHLER PARALLEL K-23528-BN BRUSHED NICKEL]  (House)  -- Ref: A0.11 04</t>
  </si>
  <si>
    <t>F/O Robe Hooks At Primary Bath (2), Guest Bath 2 (1), Guest Bath 3 (1) [KOHLER PARALLEL K-23529-BN BRUSHED NICKEL]  (House)  -- Ref: A0.11 04</t>
  </si>
  <si>
    <t>F/O 24" Towel Bars At Primary Bath (2) [KOHLER PARALLEL K-23525-BN BRUSHED NICKEL]  (House)  -- Ref: A0.11 04</t>
  </si>
  <si>
    <t>APPLIANCES</t>
  </si>
  <si>
    <t>11.31.00</t>
  </si>
  <si>
    <t>F/O Kitchen Appliances [MIELE G 7186 SCVi AutoDos; SUBZERO DEC1850W; SUBZERO CL4250UFDID/O; MIELE DAS 4930; MIELE KM 7745 FL; WOLF WWD30; WOLF CSO3050CM/B; WOLF SO3050CM/B; WOLF MD24TE/S; SUBZERO UC-2450R]  (House)  -- Ref: A0.11 03</t>
  </si>
  <si>
    <t>F/O Outdoor Kitchen Appliances [TRADE-WIND L7248-12; WOLF OG36; WOLF BM13]  (House)  -- Ref: A0.11 03</t>
  </si>
  <si>
    <t>F/O Laundry Appliances With Side Venting And Stacking Kits [LG DLEX4000B; LG WM4000HBA]  (House)  -- Ref: A0.11 03</t>
  </si>
  <si>
    <t>I/O Appliances Including Flush / Panel-Ready Installation Per Manufacturer (Vendor Delivers And Uncrates Only) [Not Specified]  (House)  -- Ref: A0.11 03, PROP Appliances</t>
  </si>
  <si>
    <t>Coordinate Factory Appliance Preparation Within Modules And Complete Final Connections [Not Specified]  (House)  -- Ref: SBS 9-1, A0.11 Gen. Note 01</t>
  </si>
  <si>
    <t>Receive Handle &amp; Place Appliances -- Prices unpriced row 298  -- Ref: Cost Detail (Almost Complete), added 2026-09-29</t>
  </si>
  <si>
    <t>COUNTERTOPS</t>
  </si>
  <si>
    <t>12.36.00</t>
  </si>
  <si>
    <t>F/I Exterior Kitchen Countertop CT-3 [CAESARSTONE 405 MIDDAY, EXTERIOR COLLECTION 3CM] - Top -- Prices unpriced row 304  -- Ref: Cost Detail (Almost Complete), added 2026-09-29</t>
  </si>
  <si>
    <t>F/I Exterior Kitchen Countertop CT-3 [CAESARSTONE 405 MIDDAY, EXTERIOR COLLECTION 3CM] - Sides/Backsplash -- Qty is LF at a SF rate in Cost Detail - verify  -- Ref: Cost Detail (Almost Complete), added 2026-09-29</t>
  </si>
  <si>
    <t>MODULAR FACTORY PACKAGE &amp; SET</t>
  </si>
  <si>
    <t>13.42.00</t>
  </si>
  <si>
    <t>F/O Factory-Built Modules (7 Boxes) Per Signature Building Systems Construction Estimate, Less Owner-Paid Engineering [SIGNATURE BUILDING SYSTEMS]  (House)  -- Ref: SBS Estimate 08/14/2026, SUPP Sec. 4</t>
  </si>
  <si>
    <t>Provide Freight, 3rd Party Inspections, NY State Seals, 3rd Party Seals And Labels, Carrier Usage And Carrier Deposit [Not Specified]  (House)  -- Ref: SBS 20-1 to 20-10</t>
  </si>
  <si>
    <t>Provide Site Preparation For Module Delivery And Setting [Not Specified]  (House)  -- Ref: SUPP Sec. 4</t>
  </si>
  <si>
    <t>Provide Crane Rental And Rigging [CRANE RENTAL]  (House)  -- Ref: A0.10, PROP Erection</t>
  </si>
  <si>
    <t>I/O Modules With Set Crew To Assist And Direct Assembly [SET CREW TO ASSIST &amp; DIRECT ASSEMBLY]  (House)  -- Ref: A0.10, SBS Set List, PROP Erection</t>
  </si>
  <si>
    <t>Provide Sill Attachments, Structural Connections Between Modules And Between Modular And Site-Built Construction [Not Specified]  (House)  -- Ref: SUPP Sec. 4</t>
  </si>
  <si>
    <t>Provide Temporary Bracing And Temporary Roof Protection [Not Specified]  (House)  -- Ref: SUPP Sec. 4, PROP Erection</t>
  </si>
  <si>
    <t>I/O All Items Shipped Loose By Factory [Not Specified]  (House)  -- Ref: SUPP Sec. 4</t>
  </si>
  <si>
    <t>F/O Modular Package -- Prices unpriced row 310  -- Ref: Cost Detail (Almost Complete), added 2026-09-29</t>
  </si>
  <si>
    <t>I/O Modular Package -- Prices unpriced row 315  -- Ref: Cost Detail (Almost Complete), added 2026-09-29</t>
  </si>
  <si>
    <t>PLUMBING &amp; GAS</t>
  </si>
  <si>
    <t>22.11.16</t>
  </si>
  <si>
    <t>Provide Domestic Water Distribution Outside Modules Including Basement Equipment [Not Specified]  (House)  -- Ref: A0.10, A1.10</t>
  </si>
  <si>
    <t>22.13.16</t>
  </si>
  <si>
    <t>Connect Factory Roof Drains Through Internal Leaders To Site Storm System [ALL ROOF DRAINS TO BE PLUMBED THROUGH INTERNAL LEADERS]  (House)  -- Ref: A1.10 Gen. Note 03, A1.11 Gen. Note 06</t>
  </si>
  <si>
    <t>Provide Accommodations As Required For Future Laundry And Bath Exhausts [Not Specified]  (House)  -- Ref: A1.20</t>
  </si>
  <si>
    <t>22.14.29</t>
  </si>
  <si>
    <t>22.34.00</t>
  </si>
  <si>
    <t>22.40.00</t>
  </si>
  <si>
    <t>F/I Garbage Disposal With Sinktop Switch At Kitchen [INSINKERATOR EVOLUTION 200; INSINKERATOR SINKTOP SWITCH BUTTON W/ SATIN NICKEL FINISH - SKU #73274]  (House)  -- Ref: A0.11 01</t>
  </si>
  <si>
    <t>I/O Factory-Supplied Freestanding Tub Shipped Loose At Primary Bath [SIGNATURE 66" OCALA SOLID SURFACE FREESTANDING TUB 948060 WHITE]  (House)  -- Ref: A0.11 01, SBS 18-1</t>
  </si>
  <si>
    <t>I/O Factory-Supplied Floor-Mount Bath Filler Shipped Loose [KOHLER PARALLEL FLOOR-MOUNT BATH FILLER K-T23492-4-BN]  (House)  -- Ref: A0.11 01, SBS 18-1</t>
  </si>
  <si>
    <t>23.11.23</t>
  </si>
  <si>
    <t>Plumbing Connections Of Modules -- Prices unpriced rows 323/327  -- Ref: Cost Detail (Almost Complete), added 2026-09-29</t>
  </si>
  <si>
    <t>F/I Frost Free Hose Bib -- Prices unpriced row 324  -- Ref: Cost Detail (Almost Complete), added 2026-09-29</t>
  </si>
  <si>
    <t>F/I Frost Free Hose Bib @ Garage  -- Ref: Cost Detail (Almost Complete), added 2026-09-29</t>
  </si>
  <si>
    <t>F/I Future Rough Ins For Bathroom &amp; Laundry Room @ Basement -- Prices unpriced row 326  -- Ref: Cost Detail (Almost Complete), added 2026-09-29</t>
  </si>
  <si>
    <t>F/I Radon Vent From Factory-Supplied Pipe Above Utility Closets To Roof -- Prices unpriced row 328  -- Ref: Cost Detail (Almost Complete), added 2026-09-29</t>
  </si>
  <si>
    <t>F/I Tankless Hot Water Heater (May Need A 2nd) -- Prices unpriced row 332  -- Ref: Cost Detail (Almost Complete), added 2026-09-29</t>
  </si>
  <si>
    <t>Provide Plumbing Connections For Refrigerator, Dishwasher, Steam Oven -- Prices unpriced row 336  -- Ref: Cost Detail (Almost Complete), added 2026-09-29</t>
  </si>
  <si>
    <t>Provide Plumbing Connections For Outdoor Kitchen  -- Ref: Cost Detail (Almost Complete), added 2026-09-29</t>
  </si>
  <si>
    <t>Provide Gas Piping As Required Per Plans Including Reconnection / Extension Of Existing Gas Service -- Prices unpriced row 337  -- Ref: Cost Detail (Almost Complete), added 2026-09-29</t>
  </si>
  <si>
    <t>Provide Gas Piping To Outdoor Kitchen Grill And Burner -- Prices unpriced row 338  -- Ref: Cost Detail (Almost Complete), added 2026-09-29</t>
  </si>
  <si>
    <t>HVAC</t>
  </si>
  <si>
    <t>23.30.00</t>
  </si>
  <si>
    <t>23.81.46</t>
  </si>
  <si>
    <t>F/I Thermostats [24/7 DIGITAL PROGRAMMABLE, WIFI COMPATIBLE]  (House)  -- Ref: A0.10</t>
  </si>
  <si>
    <t>Coordinate Current Design To Accommodate Future Basement Conditioning (AHU #2) [Not Specified]  (House)  -- Ref: SUPP Sec. 6.14, A1.10</t>
  </si>
  <si>
    <t>F/I Exterior Exhaust Louvers At Bathrooms, Laundry And Kitchen -- Prices unpriced row 345  -- Ref: Cost Detail (Almost Complete), added 2026-09-29</t>
  </si>
  <si>
    <t>F/I 6" Round Kitchen Exhaust Duct To Exterior -- Prices unpriced row 346  -- Ref: Cost Detail (Almost Complete), added 2026-09-29</t>
  </si>
  <si>
    <t>Provide Dryer Vent To Exterior -- Prices unpriced row 347  -- Ref: Cost Detail (Almost Complete), added 2026-09-29</t>
  </si>
  <si>
    <t>Provide Outdoor Grill Hood Exhaust Ducting [TRADE-WIND L7248-12] -- Prices unpriced row 348  -- Ref: Cost Detail (Almost Complete), added 2026-09-29</t>
  </si>
  <si>
    <t>F/I Geothermal Small-Duct, High-Velocity Heating And Cooling System -- Prices unpriced row 350  -- Ref: Cost Detail (Almost Complete), added 2026-09-29</t>
  </si>
  <si>
    <t>26.00.00</t>
  </si>
  <si>
    <t>F/I Data Receptacles Outside Modules With (2) CAT-6 Homeruns [TELEPHONE/DATA RECEPTACLE DUAL CAT-6]  (House)  -- Ref: A1.30-A1.33 Elec. Note 07</t>
  </si>
  <si>
    <t>ELECTRICAL</t>
  </si>
  <si>
    <t>26.05.19</t>
  </si>
  <si>
    <t>Provide Temporary Power And Lighting [Not Specified]  (Site)  -- Ref: SUPP Sec. 2</t>
  </si>
  <si>
    <t>Connect Wiring Between Modules [12/2 ROMEX WIRING (ALL IN MODULES BY FACTORY. CONNECTIONS BETWEEN MODULES BY GC.)]  (House)  -- Ref: A0.10</t>
  </si>
  <si>
    <t>Provide All Rough Electrical Wiring Outside Modules (Basement, Garage, Exterior, Stair Volume, Decks, Roof Deck) [Not Specified]  (House)  -- Ref: A0.11 Lighting Gen. Note 01, A1.20 Plan Note</t>
  </si>
  <si>
    <t>Provide Code-Required Convenience Outlets And Equipment Circuits In Unfinished Basement [CONVENIENCE OUTLETS IN UNFINISHED BASEMENT IN PHASE 1 SCOPE.]  (House)  -- Ref: A1.30, SUPP Sec. 2</t>
  </si>
  <si>
    <t>Provide Two 60-Amp Fast-Charging EV Outlets With Oversized Conduit For Future Bidirectional Charging [(2) 60-AMP FAST-CHARGING EV OUTLETS]  (Garage)  -- Ref: A1.31</t>
  </si>
  <si>
    <t>Provide Appliance Circuits Outside Modules Including Outdoor Kitchen And Grill Hood [Not Specified]  (House)  -- Ref: A0.11 03, A1.31</t>
  </si>
  <si>
    <t>Connect Factory Solar Conduit Between Modules To Load Center And Roof [(2X) 2" PVC CONDUIT]  (House)  -- Ref: A0.10, A1.30-A1.33</t>
  </si>
  <si>
    <t>F/I Smoke And Carbon Monoxide Detectors Outside Modules (Basement, Stair Volume, Garage) Per Code [DUAL AC/DC SMOKE DETECTOR - CARBON MONOXIDE DETECTOR PER CODE]  (House)  -- Ref: A0.10, SUPP Sec. 2</t>
  </si>
  <si>
    <t>26.09.23</t>
  </si>
  <si>
    <t>Replace Factory Temporary Rocker Switches With Ship-Loose RadioRA3 Controls [LUTRON RADIORA3]  (House)  -- Ref: A1.20 RadioRA3 Scope 01</t>
  </si>
  <si>
    <t>I/O All Wireless Devices, Processor And Repeaters [RADIORA 3 ALL IN ONE PROCESSOR; RADIORA 3 REPEATER]  (House)  -- Ref: A1.20 RadioRA3 Scope 02</t>
  </si>
  <si>
    <t>F/I All Devices And Controls Outside Modules Including Pico Remotes, Keypads, Mounting Plates And Bridges [Not Specified]  (House)  -- Ref: A1.20 RadioRA3 Scope 03, SBS 7-9</t>
  </si>
  <si>
    <t>F/I Remote Dimmer Bank In Basement Utility Closet; Connect And Label Factory Whips [LUTRON SUNNATA DIMMER SWITCH REMOTED IN BASEMENT]  (House)  -- Ref: A1.20 RCP Keynote 1, A1.20</t>
  </si>
  <si>
    <t>F/I Pico Switches For Shades In Guest Bath Faceplates [PICO SWITCH BY GC FOR SHADES]  (House)  -- Ref: A1.22</t>
  </si>
  <si>
    <t>F/O Wired Keypads And Fan Timer Switches Listed As Not Included In Factory Estimate, Shipped To Factory Or Installed On Site [Lutron RRST-W3RL-WH RadioRA3 Sunnata Keypad - 3-Button w/ Raise/Lower; Lutron RRST-W4B-WH RadioRA3 Sunnata Keypad - 4-Button; Lutron Maestro MA-T51-WH]  (House)  -- Ref: SBS 7-6, 7-7, 7-8</t>
  </si>
  <si>
    <t>Provide All System Programming Including Keypad Engraving And 30-Minute Exhaust Fan Timers [SUGGESTED KEYPAD BUTTON SCHEDULE]  (House)  -- Ref: A1.20 RadioRA3 Scope 04, A1.21 03, RCP Keynote 5</t>
  </si>
  <si>
    <t>Provide Compatible Drivers, Dimmers And Lutron Minimum Load Capacitors As Required [Not Specified]  (House)  -- Ref: A1.20 Lighting Note 10</t>
  </si>
  <si>
    <t>26.21.00</t>
  </si>
  <si>
    <t>Provide Underground Electric Service Including Reconnection / Extension Of Existing Service; Confirm Service Size Adequate [Not Specified]  (Site)  -- Ref: A0.10, SUPP Sec. 2</t>
  </si>
  <si>
    <t>F/I Underground Conduit For Telephone, Cable And Internet Services [Not Specified]  (Site)  -- Ref: A0.10</t>
  </si>
  <si>
    <t>26.24.16</t>
  </si>
  <si>
    <t>I/O Factory-Supplied 200A Panel Dropped To Basement And Connect Labeled Module Wiring To Panel [ELECTRICAL PANEL &amp; SUBPANEL(S) AS REQ'D.]  (House)  -- Ref: A0.10, SBS 7-1, A1.30</t>
  </si>
  <si>
    <t>F/I 200 Amp Subpanel In Garage For EV Outlets, Location Coordinated With Architect [200 AMP SUBPANEL]  (Garage)  -- Ref: A1.31</t>
  </si>
  <si>
    <t>26.27.26</t>
  </si>
  <si>
    <t>I/O Factory-Supplied Faceplates In Modules And F/I Faceplates Outside Modules [LUTRON CLARO SCREWLESS DESIGNER SERIES, WHITE]  (House)  -- Ref: SBS 7-10 to 7-15, A0.10</t>
  </si>
  <si>
    <t>I/O Factory-Supplied Floor Boxes With Whips; Locations TBD Pending Furniture Layout [WALKER 862DB FLOOR BOXES W/BRUSHED ALUM ROUND FLIP-LID COVER]  (House)  -- Ref: A0.10, A1.31</t>
  </si>
  <si>
    <t>F/I GFI Receptacles At Basement, Garage, Exterior, Decks And Roof Deck [GROUND FAULT INTERRUPT DUPLEX RECEPTACLE]  (House)  -- Ref: A1.30-A1.33</t>
  </si>
  <si>
    <t>26.27.27</t>
  </si>
  <si>
    <t>F/I Weather Proof GFI</t>
  </si>
  <si>
    <t>F/I Outlet In Underside Of Medicine Cabinet With Stainless Steel Faceplate (Roughing By Factory) [Not Specified]  (House)  -- Ref: 12/A4.04</t>
  </si>
  <si>
    <t>Provide Black Devices On Black Steel Walls [ALL DEVICES ON BLACK STEEL WALLS TO BE BLACK.]  (House)  -- Ref: 02/A4.03, 06/A4.03</t>
  </si>
  <si>
    <t>26.51.13</t>
  </si>
  <si>
    <t>F/O L1 And L2 Downlights Outside Modules (Stair Volume, Basement Stair) [JUNO IC1LED-G4-09LM-30K-90CRI; JUNO 2LEDTRIM-G2-DC-30K-90CRI-FL]  (House)  -- Ref: A0.11 02, A1.20, A1.21</t>
  </si>
  <si>
    <t>I/O L1 And L2 Downlights Outside Modules [Not Specified]  (House)  -- Ref: A0.11 02, A1.20, A1.21</t>
  </si>
  <si>
    <t>F/O L1A Wet-Rated Downlights At Garage And Garage Storage [JUNO IC1LED-G4-09LM-30K-90CRI 12WWH]  (Garage)  -- Ref: A0.11 02, 02/A1.21</t>
  </si>
  <si>
    <t>I/O L1A Wet-Rated Downlights At Garage And Garage Storage [Not Specified]  (Garage)  -- Ref: A0.11 02, 02/A1.21</t>
  </si>
  <si>
    <t>F/I Porcelain Socket Fixtures With Bulbs In Unfinished Basement [BULBS W/PORCELAIN SOCKETS IN UNFINISHED BASEMENTS BY GC, TYP.]  (House)  -- Ref: A1.20</t>
  </si>
  <si>
    <t>F/O L8 Linear Ceiling Lights Flush Into Cedar Ceilings, Lengths Confirmed By GC [WAC INVISILED PRO2+ LED-TC24-30-90-X-WT ANGLED RECESSED CHANNEL, WITH FROSTED DIFFUSER]  (House)  -- Ref: A0.11 02, A1.21</t>
  </si>
  <si>
    <t>I/O L8 Linear Ceiling Lights [Not Specified]  (House)  -- Ref: A0.11 02, A1.21</t>
  </si>
  <si>
    <t>F/O L12B Interior Step Lights Outside Modules [WAC WL-LED200-C-BK]  (House)  -- Ref: A0.11 02</t>
  </si>
  <si>
    <t>I/O L12B Interior Step Lights Outside Modules [Not Specified]  (House)  -- Ref: A0.11 02</t>
  </si>
  <si>
    <t>I/O Factory-Supplied L12BB Step Lights On Black Steel Wall After Steel Install [WAC WL-LED200-C-BK BLACK]  (House)  -- Ref: A0.11 02</t>
  </si>
  <si>
    <t>F/O L19 Bedside Reading Lamps (Guest) With Integral Switch [TBD]  (House)  -- Ref: A0.11 02, SUPP Sec. 6.11</t>
  </si>
  <si>
    <t>I/O L19 Bedside Reading Lamps [Not Specified]  (House)  -- Ref: A0.11 02, SUPP Sec. 6.11</t>
  </si>
  <si>
    <t>I/O L20 Dining Pendants [Not Specified]  (House)  -- Ref: A0.11 02, A1.21</t>
  </si>
  <si>
    <t>F/O L21 Primary Bedroom Pendants [TBD]  (House)  -- Ref: A0.11 02, A1.22, 06/A4.03, SUPP Sec. 6.11</t>
  </si>
  <si>
    <t>I/O L21 Primary Bedroom Pendants [Not Specified]  (House)  -- Ref: A0.11 02, A1.22, 06/A4.03</t>
  </si>
  <si>
    <t>I/O Factory-Supplied Lights In Foyer Millwork Sleeve [SPEC'D LIGHTS IN SLEEVE SHIPPED LOOSE BY FACTORY, INSTALLED BY GC]  (House)  -- Ref: 02/A4.00</t>
  </si>
  <si>
    <t>F/I All Light Bulbs [ALL LIGHT BULBS TO BE PROVIDED BY GC.]  (House)  -- Ref: A0.11 Lighting Gen. Note 03</t>
  </si>
  <si>
    <t>F/I Remote Transformers For Lighting, Accessible, Locations Coordinated In Field [Not Specified]  (House)  -- Ref: A1.20 Lighting Note 04</t>
  </si>
  <si>
    <t>26.56.00</t>
  </si>
  <si>
    <t>F/O L4 Exterior Downlights At Terraces, Decks And Stucco Soffits [JUNO MD1LG2-RD-03LM-27K-90CRI-FL-BL BLACK]  (House)  -- Ref: A0.11 02, A1.20-A1.22</t>
  </si>
  <si>
    <t>I/O L4 Exterior Downlights [Not Specified]  (House)  -- Ref: A0.11 02, A1.20-A1.22</t>
  </si>
  <si>
    <t>F/O L12A Exterior Step Lights At Stairs, Paths And Roof Deck [WAC 4021-27BK STEP LIGHT, RECTANGLE]  (House)  -- Ref: A0.11 02, A1.20, A1.21, A1.23</t>
  </si>
  <si>
    <t>I/O L12A Exterior Step Lights [Not Specified]  (House)  -- Ref: A0.11 02, A1.20, A1.21, A1.23</t>
  </si>
  <si>
    <t>F/I CH Ceiling Heaters At Outdoor Living With Ceiling Recess Kit [BROMIC 4500W SERIES PLATINUM ELECTRIC BLACK]  (House)  -- Ref: A0.11 02, A1.21</t>
  </si>
  <si>
    <t>F/I L6A Millwork Linear Lights [Not Specified]  (House)  -- Ref: Takeoff only, no SOW match</t>
  </si>
  <si>
    <t>F/I Duplex And Quad Receptacles Outside Modules [Not Specified]  (House)  -- Ref: Takeoff only, no SOW match</t>
  </si>
  <si>
    <t>F/I Spill-Proof Pop-Up Outlets [Not Specified]  (House)  -- Ref: Takeoff only, no SOW match</t>
  </si>
  <si>
    <t>F/I Garage Door Opener Wall Switch [Not Specified]  (House)  -- Ref: Takeoff only, no SOW match</t>
  </si>
  <si>
    <t>31.10.00</t>
  </si>
  <si>
    <t>Remove Trees, Stumps And Obstructions From Around House Location And New Driveway As Required (Clear And Grub) [Not Specified]  (Site)  -- Ref: A0.10, C-5 Phase 1A (Allowance Up To 3 Trees)</t>
  </si>
  <si>
    <t>F/I Tree Protection At Trees Noted To Remain [PROPOSED TREE PROTECTION]  (Site)  -- Ref: C-3, C-5 Phase 1A</t>
  </si>
  <si>
    <t>Strip Topsoil And Surface Gravel From Building Area Extending 10 Ft Beyond New Construction Limits Where Practical [Not Specified]  (Site)  -- Ref: GEO p.7</t>
  </si>
  <si>
    <t>Provide Selective Vegetation Removal For Silt Fence Installation [Not Specified]  (Site)  -- Ref: C-5 Phase 1A</t>
  </si>
  <si>
    <t>31.25.00</t>
  </si>
  <si>
    <t>F/I Temporary Silt Fence Down Slope Of All Disturbed Areas [INSTALL TEMPORARY SILT FENCE DOWN SLOPE OF ALL DISTURBED AREAS (TYP.)]  (Site)  -- Ref: A0.10, C-3</t>
  </si>
  <si>
    <t>F/I Temporary Construction Fence Around Proposed Infiltration System Areas [48" HIGH DENISTY ORANGE POLYETHYLENE SAFETY FENCE]  (Site)  -- Ref: C-3, C-4, C-5 Phase 1A</t>
  </si>
  <si>
    <t>F/I Project Limiting Fence And Haybales As Required By Local Municipality [Not Specified]  (Site)  -- Ref: A0.10</t>
  </si>
  <si>
    <t>F/I Stabilized Construction Entrance [3 in. CLEAN STONE]  (Site)  -- Ref: C-3, C-4</t>
  </si>
  <si>
    <t>F/I Temporary Inlet Protection At Existing And Proposed Drain Inlets [STONE &amp; BLOCK DROP INLET PROTECTION]  (Site)  -- Ref: C-3, C-4</t>
  </si>
  <si>
    <t>Provide Temporary Soil Stockpile Areas With Silt Fence And Stabilization [Not Specified]  (Site)  -- Ref: C-3, C-4</t>
  </si>
  <si>
    <t>F/I Concrete Truck Washout Area Prior To Concrete Placement [10 MIL POLYETHYLENE SHEETING]  (Site)  -- Ref: C-3, C-4</t>
  </si>
  <si>
    <t>Provide Daily Sweeping Of Existing Roadway For Duration Of Construction [Not Specified]  (Site)  -- Ref: C-3, C-5</t>
  </si>
  <si>
    <t>Per Day</t>
  </si>
  <si>
    <t>Provide Dust Control By Sprinkling [Not Specified]  (Site)  -- Ref: Narrative p.11</t>
  </si>
  <si>
    <t>Provide Silt Fence Surrounding Dumpsters And Portable Sanitary Units And Tarp All Dump Trucks Hauling From Site [Not Specified]  (Site)  -- Ref: C-5</t>
  </si>
  <si>
    <t>Provide Erosion Control Inspection And Maintenance Every Two Weeks And Before And After Every 1/2" Or Greater Rainfall Event [Not Specified]  (Site)  -- Ref: C-2, C-5</t>
  </si>
  <si>
    <t>Provide Temporary Stabilization Of Disturbed Areas With Topsoil, Seed And Hay When No Disturbance Planned Within 14 Days [Not Specified]  (Site)  -- Ref: C-3 Site Note 3, C-5 Phase 1A</t>
  </si>
  <si>
    <t>Remove All Temporary Erosion And Sediment Control Measures After 80% Site Stabilization [Not Specified]  (Site)  -- Ref: C-2, C-3 Site Note 11, C-5 Phase 1B</t>
  </si>
  <si>
    <t>31.20.00</t>
  </si>
  <si>
    <t>Excavate As Required For New Areas Of Foundation Per Engineering And Civil Drawings [Not Specified]  (Foundation)  -- Ref: A0.10, C-5 Phase 1B</t>
  </si>
  <si>
    <t>Excavate Cuts Up To Approximately 8 Ft Where Basement Extends Beyond Existing House Footprint [Not Specified]  (Foundation)  -- Ref: GEO p.2</t>
  </si>
  <si>
    <t>Segregate Reusable Soil From Debris And Topsoil And Stockpile Reusable Fill Covered With Tarps [Not Specified]  (Foundation)  -- Ref: GEO p.7</t>
  </si>
  <si>
    <t>Proofroll Exposed Virgin Subgrade With Minimum Five Passes Of Large Vibratory Drum Roller [DYNAPAC CA 250 OR EQUIVALENT]  (Foundation)  -- Ref: GEO p.8</t>
  </si>
  <si>
    <t>F/I Foundation Wall Backfill With Clean Crushed Stone Or Imported Sand And Gravel, Top 2 Ft Low-Permeability Soil [Not Specified]  (Foundation)  -- Ref: GEO p.11-12</t>
  </si>
  <si>
    <t>Provide Localized Excavation, Backfill And Grading Immediately Surrounding New House, Garage And Foundations [Not Specified]  (Site)  -- Ref: SUPP Sec. 6.1</t>
  </si>
  <si>
    <t>Slope Earth Away From Foundation 5% Minimum [SLOPE EARTH AWAY FROM FOUNDATION, 5% MIN.]  (Site)  -- Ref: A1.10 02</t>
  </si>
  <si>
    <t>Excavate And Backfill Utility Trenches Compacted To 92% [ASTM D1557]  (Site)  -- Ref: GEO p.16, Table 9 Allowance Of Up To 200LF</t>
  </si>
  <si>
    <t>Excavate And Backfill For Utilities Recessed Below Grade (Electrical, Telephone, Cable, Gas, Sewer, Internet) [Not Specified]  (Site)  -- Ref: A0.10</t>
  </si>
  <si>
    <t>F/I Rigid Insulation Under Basement Slab [2" THK RIGID INSUL. (R-10)]  (Foundation)  -- Ref: 02/A1.10  -- CARRIED IN SITEWORK</t>
  </si>
  <si>
    <t>07.26.00</t>
  </si>
  <si>
    <t>F/I 15-Mil Vapor Barrier Under Basement Slab, Lapped and Taped [15-MIL VAPOR BARRIER]  (Foundation)  -- Ref: 02/A1.10  -- CARRIED IN SITEWORK</t>
  </si>
  <si>
    <t>31.50.00</t>
  </si>
  <si>
    <t>HELICAL PILES</t>
  </si>
  <si>
    <t>31.66.15</t>
  </si>
  <si>
    <t>F/I Helical Piles At Deck Footings And Two Columns Adjacent To Living Room [ALLOWABLE COMPRESSION CAPACITY 10 TONS; 3.5 INCH O.D. X 0.30 INCH WALL THICKNESS; TRIPLE HELIX: 8-INCH, 10-INCH, 12-INCH; MINIMUM PILE DEPTH 25 FEET; MINIMUM INSTALLATION TORQUE 7,150 FOOT-POUNDS]  (Decks)  -- Ref: GEO p.9-10, Fig. 2</t>
  </si>
  <si>
    <t>Provide Installation And Testing Per Section 1812 NYS Building Code [Not Specified]  (Decks)  -- Ref: GEO p.10</t>
  </si>
  <si>
    <t>HARDSCAPE &amp; RETAINING WALLS</t>
  </si>
  <si>
    <t>32.14.00</t>
  </si>
  <si>
    <t>F/I Belgian Block Curb At Driveway [PROPOSED BELGIAN BLOCK CURB]  (Hardscape)  -- Ref: C-2</t>
  </si>
  <si>
    <t>F/I Porcelain Terrace Pavers On Slab Including Cuts, Waste, Edge Conditions And Transitions, Wrapping Stair Treads And Risers From Terrace To Grade [NT PAVERS - DARK GREY PORCELAIN PAVERS 24X48]  (Hardscape)  -- Ref: SUPP Sec. 6.7, A1.41</t>
  </si>
  <si>
    <t>F/I Exterior Stairs From Terrace And Garage Storage To Grade [Not Specified]  (Hardscape)  -- Ref: A1.11</t>
  </si>
  <si>
    <t>32.32.00</t>
  </si>
  <si>
    <t>F/I Poured Concrete Retaining / Landscape Walls Per Structural Drawings Including Auto Court Wall And Terrace Walls [PARGED POURED-CONCRETE RETAINING WALLS WITH PRECAST CONCRETE COPING]  (Hardscape)  -- Ref: A1.10-A1.12 Keynote 2, SUPP Sec. 6.4, A0.02</t>
  </si>
  <si>
    <t>Parge All Exposed Retaining Walls [ALL EXPOSED CONCRETE FOUNDATION &amp; RETAINING WALLS TO BE PARGED U.O.N. - BY GC.]  (Hardscape)  -- Ref: A2.00 Gen. Note 05</t>
  </si>
  <si>
    <t>F/I Precast Concrete Coping At Retaining Walls [Not Specified]  (Hardscape)  -- Ref: SUPP Sec. 6.4</t>
  </si>
  <si>
    <t>33.10.00</t>
  </si>
  <si>
    <t>Provide Reconnection, Modification And Extension Of Existing Public Water Service To New Residence [Not Specified]  (Site)  -- Ref: SUPP Sec. 2, A0.10, C-5 Phase 1B</t>
  </si>
  <si>
    <t>33.30.00</t>
  </si>
  <si>
    <t>Provide Reconnection And Extension Of Sanitary Sewer Service With Cleanouts [ALL SANITARY SEWER SERVICES TO BE 4" dia SCH. 40 @ 1.0% MINIMUM]  (Site)  -- Ref: SUPP Sec. 2, C-4, C-5 Phase 1B</t>
  </si>
  <si>
    <t>SUBTOTAL</t>
  </si>
  <si>
    <t>General Conditions</t>
  </si>
  <si>
    <t>Fee</t>
  </si>
  <si>
    <t>Insurance</t>
  </si>
  <si>
    <t>TOTAL -- BASE BID</t>
  </si>
  <si>
    <t>ALTERNATES  --  markups link to the base bid percentages. Final Price and proposal comparison are on the SOV.</t>
  </si>
  <si>
    <t>ALTERNATE 1 -- DEMOLITION OF EXISTING HOUSE  |  OWNER REQUESTED  |  SUPP SEC. 7 ITEM 1</t>
  </si>
  <si>
    <t>[Demolition] Remove Existing Dwelling And Dispose Off-Site [EXISTING DWELLING TO BE DEMOLISHED AND DISPOSED OF OFF-SITE (TYP.)]  -- Ref: C-1, A0.10, SUPP Sec. 7.1</t>
  </si>
  <si>
    <t>[Demolition] Remove Existing Pool, Pool Equipment And Associated Concrete Pads, Spa, Pond, Patios And Porch [Not Specified]  -- Ref: A0.10, C-1</t>
  </si>
  <si>
    <t>[Demolition] Provide Hazardous Materials Evaluation Of Existing Structures Prior To Demolition, Including Handling And Disposal Of Regulated Materials [Not Specified]  -- Ref: C-3 Site Note 5</t>
  </si>
  <si>
    <t>[Demolition] Remove Existing Utility Pipe, Structures And Loose Fill Within Building Area And Backfill With Controlled Fill [Not Specified]  -- Ref: GEO p.7</t>
  </si>
  <si>
    <t>[Electrical] Provide Disconnect And Safe-Off Of Existing Dwelling Electrical Service Prior To Demolition [Not Specified]  -- Ref: SUPP Sec. 7.1</t>
  </si>
  <si>
    <t>TOTAL</t>
  </si>
  <si>
    <t>ALTERNATE 2 -- ROUGH GRADING AND STRUCTURAL FILL FROM EL. 52.5 UP  |  OWNER REQUESTED  |  SUPP SEC. 7 ITEM 2</t>
  </si>
  <si>
    <t>[Earthwork &amp; Excavation Support] Provide Rough Grading And Structural Fill From Elevation 52.5' (Top-Of-Slope) Up To Street Including House, Driveway And Landscape Areas [Not Specified]  -- Ref: A0.10, SUPP Sec. 7.2, C-2</t>
  </si>
  <si>
    <t>ALTERNATE 3 -- CULTEC SYSTEM AND SITE DRAINAGE  |  OWNER REQUESTED  |  SUPP SEC. 7 ITEM 3</t>
  </si>
  <si>
    <t>33.40.00</t>
  </si>
  <si>
    <t>[Site Utilities &amp; Stormwater] F/I Subsurface Infiltration System With 12" Crushed Stone All Sides, Geotextile And Isolation Row [THIRTY (30) CULTEC RECHARGER 330XLHD STORM WATER CHAMBERS SURROUNDED W/ 12" CRUSHED STONE ON ALL SIDES]  -- Ref: C-2, C-4, SUPP Sec. 7.3</t>
  </si>
  <si>
    <t>[Site Utilities &amp; Stormwater] F/I Inspection Ports At Chambers [6" SCH. 40 PVC OR SDR-35 PVC PIPE RISER]  -- Ref: C-4</t>
  </si>
  <si>
    <t>[Site Utilities &amp; Stormwater] F/I Precast Drain Inlets With Solid Covers At CULTEC System [PROPOSED 36"X36" PRECAST DRAIN INLET WITH SOLID COVER]  -- Ref: C-2, C-4</t>
  </si>
  <si>
    <t>[Site Utilities &amp; Stormwater] F/I Precast Drain Inlets At Driveway And North Of House [PROPOSED 24"X24" PRECAST DRAIN INLET; PROPOSED 18"X18" PRECAST DRAIN INLET; HEAVY DUTY CAST IRON CAMPBELL GRATE]  -- Ref: C-2, C-4</t>
  </si>
  <si>
    <t>[Site Utilities &amp; Stormwater] F/I Precast Concrete Doghouse Manhole [PROPOSED PRECAST CONCRETE DOGHOUSE MANHOLE RIM=59.44+/- INV.=TBD]  -- Ref: C-2</t>
  </si>
  <si>
    <t>[Site Utilities &amp; Stormwater] F/I HDPE Storm Piping And Connect All Roof Leaders To CULTEC System [6" HDPE (N-12) PIPE @ 1.0% (MIN.); 8" dia HDPE; 12" dia HDPE]  -- Ref: C-2, C-5</t>
  </si>
  <si>
    <t>[Site Utilities &amp; Stormwater] Provide Plugs At All Infiltration System Connections Until Site Is Stabilized, Then Remove Plugs [Not Specified]  -- Ref: C-2, C-3, C-5</t>
  </si>
  <si>
    <t>[Site Utilities &amp; Stormwater] Provide Trench Bedding For Storm Piping [TRENCH BEDDING]  -- Ref: C-5 Detail</t>
  </si>
  <si>
    <t>ALTERNATE 4 -- DEDUCT -- CABLE RAILINGS IN LIEU OF GLASS  |  OWNER REQUESTED  |  SUPP SEC. 7 ITEM 4</t>
  </si>
  <si>
    <t>ALTERNATE 5 -- UPPER ROOF DECK (CEDAR, IPE, HOT TUB)  |  OWNER REQUESTED  |  SUPP SEC. 7 ITEM 5</t>
  </si>
  <si>
    <t>[Decking] F/I Ipe Decking On Sleepers Over EPDM Roof At Upper Roof Deck [Not Specified]  -- Ref: SUPP Sec. 7.5, 09/A5.00</t>
  </si>
  <si>
    <t>[Siding &amp; Weather Barriers] F/I Black-Stained Cedar At Interior Parapet Faces Of Upper Roof Deck [Not Specified]  -- Ref: SUPP Sec. 7.5</t>
  </si>
  <si>
    <t>13.17.00</t>
  </si>
  <si>
    <t>[Special Construction] F/I 8X8 Prefabricated Hot Tub With Ipe Benches And Steps Around All Sides At Upper Roof Deck [Not Specified]  -- Ref: SUPP Sec. 7.5, A1.13</t>
  </si>
  <si>
    <t>ALTERNATE 6 -- GREEN ROOFS WITH IRRIGATION  |  OWNER REQUESTED  |  SUPP SEC. 7 ITEM 6</t>
  </si>
  <si>
    <t>07.33.63</t>
  </si>
  <si>
    <t>[Roofing &amp; Sheet Metal] F/I Irrigation For Green Roof -- Prices unpriced row 567  -- Ref: Cost Detail (Almost Complete), added 2026-09-29</t>
  </si>
  <si>
    <t>ALTERNATE 7 -- ROOFTOP SOLAR PANELS  |  OWNER REQUESTED  |  SUPP SEC. 7 ITEM 7</t>
  </si>
  <si>
    <t>26.31.00</t>
  </si>
  <si>
    <t>ALTERNATE 8 -- SOLAR BATTERY BACKUP  |  OWNER REQUESTED  |  SUPP SEC. 7 ITEM 8</t>
  </si>
  <si>
    <t>26.33.00</t>
  </si>
  <si>
    <t>ALTERNATE 9 -- WHOLE-HOUSE GENERATOR  |  OWNER REQUESTED  |  SUPP SEC. 7 ITEM 9</t>
  </si>
  <si>
    <t>26.32.13</t>
  </si>
  <si>
    <t>ALTERNATE 10 -- ENERGY-RECOVERY VENTILATOR (ERV)  |  OWNER REQUESTED  |  SUPP SEC. 7 ITEM 10</t>
  </si>
  <si>
    <t>[HVAC] F/I Energy-Recovery Ventilator [ERV (HUNG HIGH)]  -- Ref: SUPP Sec. 7.10, A1.10, A1.20</t>
  </si>
  <si>
    <t>ALTERNATE 11 -- SECURITY SYSTEM  |  OWNER REQUESTED  |  SUPP SEC. 7 ITEM 11</t>
  </si>
  <si>
    <t>ALTERNATE 12 -- AV EQUIPMENT, SPEAKERS AND WI-FI  |  OWNER REQUESTED  |  SUPP SEC. 7 ITEM 12</t>
  </si>
  <si>
    <t>[Low Voltage, AV &amp; Security] F/I Ceiling Speakers And Associated AV Equipment Indicated On RCPs [SPK CEILING SPEAKER]  -- Ref: SUPP Sec. 7.12, A1.20-A1.22</t>
  </si>
  <si>
    <t>[Low Voltage, AV &amp; Security] F/I Wi-Fi Networking Throughout Home And Exterior Spaces [PRESUME 3-4, INDOOR AND 2-4 OUTDOOR PTS. FOR COST ESTIMATING. PRESUME POE- (2)CAT-6 TO EA. LOCATION.]  -- Ref: SUPP Sec. 7.12, A1.20 WAP Legend</t>
  </si>
  <si>
    <t>[Low Voltage, AV &amp; Security] F/I 75-80" TV At Flex Room With Soundbar And Framing System [SONOS SOUNDBAR AND LEON EDGE FIT FRAMING SYSTEM, OR APPROVED EQUAL]  -- Ref: SUPP Sec. 7.12, A1.32</t>
  </si>
  <si>
    <t>12.24.00</t>
  </si>
  <si>
    <t>[Window Treatments] F/I Battery-Powered Roller Shades Within Window Trim In White Architectural Fascia At Scheduled Locations [LUTRON BATTERY-POWERED ROLLER SHADES - SIVOIA QS TRIATHLON - CONTROLLED ON RADIORA SYSTEM]  -- Ref: A1.20-A1.22 Shading Notes, A0.20 Gen. Note 11, SUPP Sec. 7.13</t>
  </si>
  <si>
    <t>[Window Treatments] F/I Primary Bedroom Blackout Shades And Ceiling-Mounted Shades At Windows / Doors 214, 215, 216 [LUTRON SIVOIA QS TRIATHLON SHADES W/ BLACKOUT FABRIC &amp; LUTRON PALLADIOM BATTERY-POWERED CLG-MTD SHADES]  -- Ref: A1.22</t>
  </si>
  <si>
    <t>[Window Treatments] Provide Mock-Up Of Roller Shade And Custom Valance Assembly [GC TO PREPARE MOCK-UP OF ROLLER SHADE &amp; CUSTOM VALANCE ASSEMBLY]  -- Ref: 04/A0.23</t>
  </si>
  <si>
    <t>ALTERNATE 14 -- STAIR GLAZING PRIVACY FILM  |  OWNER REQUESTED  |  SUPP SEC. 7 ITEM 14</t>
  </si>
  <si>
    <t>[Glass &amp; Glazing] F/I Low-Voltage Switchable Privacy Film At Stair Glazed Partition Adjacent To Primary Suite [Not Specified]  -- Ref: SUPP Sec. 7.14</t>
  </si>
  <si>
    <t>ALTERNATE -- LAMINATED GLAZING UPGRADE (A0.20 NOTE 03)  |  ARCHITECT ADD ALTERNATE A0.20  |  NOT IN SUPP SEC. 7 LIST</t>
  </si>
  <si>
    <t>Eun/Yu Residence -- Electrical, Solar/Battery/Generator and Shades -- Pricing Basis (2026-09-28)</t>
  </si>
  <si>
    <t>Raw cost only (no GC OH&amp;P). Furnish and install broken out. Quantities are conceptual counts from A0.20, A0.11 and A1.20-A1.33; confirm with the electrical and shade subs. Totals link to the Estimate sheet.</t>
  </si>
  <si>
    <t>Est. Row</t>
  </si>
  <si>
    <t>Furnish / Unit</t>
  </si>
  <si>
    <t>Install / Unit</t>
  </si>
  <si>
    <t>Furnish Total</t>
  </si>
  <si>
    <t>Install Total</t>
  </si>
  <si>
    <t>Line Total</t>
  </si>
  <si>
    <t>Basis</t>
  </si>
  <si>
    <t>BASE BID -- ELECTRICAL (26)</t>
  </si>
  <si>
    <t>Provide Temporary Power And Lighting [Not Specified]  (Site)</t>
  </si>
  <si>
    <t>Temp service pole, meter pan, 100A temp panel, GFCI cords, string lighting in modules/basement; ~10-12 mo. Utility fees excluded.</t>
  </si>
  <si>
    <t>Connect Wiring Between Modules [12/2 ROMEX WIRING (ALL IN MODULES BY FACTORY. CONNECTIONS BETWEEN MODULES BY GC.)]  (House)</t>
  </si>
  <si>
    <t>Mate-line splices between modules, ~60 connections (6 modules, 2 floors) in accessible J-boxes, labeled.</t>
  </si>
  <si>
    <t>Provide All Rough Electrical Wiring Outside Modules (Basement, Garage, Exterior, Stair Volume, Decks, Roof Deck) [Not Specified]  (House)</t>
  </si>
  <si>
    <t>~30 branch circuits outside modules (basement, garage, stair volume, exterior soffits, decks, roof deck). Covers wire/boxes for F/O-I/O fixture rows. Blue F/I device rows already carry their own wiring.</t>
  </si>
  <si>
    <t>Provide Code-Required Convenience Outlets And Equipment Circuits In Unfinished Basement [CONVENIENCE OUTLETS IN UNFINISHED BASEMENT IN PHASE 1 SCOPE.]  (House)</t>
  </si>
  <si>
    <t>Phase 1 basement: ~8 convenience outlets + equipment circuits for 2 geo heat pumps, flow center, circulators, AHU #1, 2 tankless heaters, sump/misc.</t>
  </si>
  <si>
    <t>Connect Factory Solar Conduit Between Modules To Load Center And Roof [(2X) 2" PVC CONDUIT]  (House)</t>
  </si>
  <si>
    <t>Connect (2) 2in factory solar conduits across mate lines, extend to basement load center and roof penetration; pull string. PVC vs EMT conflict open (Review #26).</t>
  </si>
  <si>
    <t>Replace Factory Temporary Rocker Switches With Ship-Loose RadioRA3 Controls [LUTRON RADIORA3]  (House)</t>
  </si>
  <si>
    <t>I/O: swap factory temporary rockers for ship-loose RadioRA3 controls in modules. ~21 keypads + ~44 dimmers/switches (A1.21, A1.22 keypad tags).</t>
  </si>
  <si>
    <t>F/I All Wireless Devices, Processor And Repeaters [RADIORA 3 ALL IN ONE PROCESSOR; RADIORA 3 REPEATER]  (House)</t>
  </si>
  <si>
    <t>I/O per Steve 9/28: factory supplies. Receive/inventory ($300) + mount/connect processor and ~3 repeaters (4 @ $125). Device install is on rows 372/374; programming on row 378.</t>
  </si>
  <si>
    <t>F/I Remote Dimmer Bank In Basement Utility Closet; Connect And Label Factory Whips [LUTRON SUNNATA DIMMER SWITCH REMOTED IN BASEMENT]  (House)</t>
  </si>
  <si>
    <t>Remote Sunnata dimmer bank in basement utility closet (~12 per A1.20): dimmer + multi-gang box; connect and label factory whips.</t>
  </si>
  <si>
    <t>F/I Pico Switches For Shades In Guest Bath Faceplates [PICO SWITCH BY GC FOR SHADES]  (House)</t>
  </si>
  <si>
    <t>Pico + wallplate bracket in guest bath 4-gang plates (A1.22 PIC tags, 3 baths).</t>
  </si>
  <si>
    <t>Provide All System Programming Including Keypad Engraving And 30-Minute Exhaust Fan Timers [SUGGESTED KEYPAD BUTTON SCHEDULE]  (House)</t>
  </si>
  <si>
    <t>Lutron Designer programming ~122 devices @ $55, keypad engraving ~25 @ $45, 30-min fan timers, owner training $400. Shade programming carried in Alt 13.</t>
  </si>
  <si>
    <t>Provide Compatible Drivers, Dimmers And Lutron Minimum Load Capacitors As Required [Not Specified]  (House)</t>
  </si>
  <si>
    <t>Allowance: Lutron LUT-MLC capacitors and compatible dimmers/drivers where fixture loads are low (Lighting Note 10).</t>
  </si>
  <si>
    <t>Provide Underground Electric Service Including Reconnection / Extension Of Existing Service; Confirm Service Size Adequate [Not Specified]  (Site)</t>
  </si>
  <si>
    <t>UG service lateral ~150 LF (conductors + 3in PVC), 320A/400A meter-main + grounding. Trenching carried in earthwork (row 349). Utility charges excluded. 200A house panel + 200A EV subpanel likely needs 320A service.</t>
  </si>
  <si>
    <t>F/I Underground Conduit For Telephone, Cable And Internet Services [Not Specified]  (Site)</t>
  </si>
  <si>
    <t>(2) 2in PVC comm conduits ~150 LF each w/ pull string + pull boxes. Trench by earthwork.</t>
  </si>
  <si>
    <t>I/O Factory-Supplied 200A Panel Dropped To Basement And Connect Labeled Module Wiring To Panel [ELECTRICAL PANEL &amp; SUBPANEL(S) AS REQ'D.]  (House)</t>
  </si>
  <si>
    <t>I/O factory 200A panel: set in basement, terminate ~40 labeled module circuits, bond/ground.</t>
  </si>
  <si>
    <t>I/O Factory-Supplied Faceplates In Modules And F/I Faceplates Outside Modules [LUTRON CLARO SCREWLESS DESIGNER SERIES, WHITE]  (House)</t>
  </si>
  <si>
    <t>Install ~150 factory Claro plates in modules; F/I ~60 Claro plates outside modules not already in device rates.</t>
  </si>
  <si>
    <t>F/I Outlet In Underside Of Medicine Cabinet With Stainless Steel Faceplate (Roughing By Factory) [Not Specified]  (House)</t>
  </si>
  <si>
    <t>Outlet under Robern medicine cabinets, primary bath (L+R), SS plate; factory rough.</t>
  </si>
  <si>
    <t>Provide Black Devices On Black Steel Walls [ALL DEVICES ON BLACK STEEL WALLS TO BE BLACK.]  (House)</t>
  </si>
  <si>
    <t>Black device/plate upcharge at black steel walls (~10 devices).</t>
  </si>
  <si>
    <t>F/O L1 And L2 Downlights Outside Modules (Stair Volume, Basement Stair) [JUNO IC1LED-G4-09LM-30K-90CRI; JUNO 2LEDTRIM-G2-DC-30K-90CRI-FL]  (House)</t>
  </si>
  <si>
    <t>F/O Juno IC1LED 4in / 2LEDTRIM 2in outside modules: ~3 basement stair + ~7 stair volume/landings.</t>
  </si>
  <si>
    <t>I/O L1 And L2 Downlights Outside Modules [Not Specified]  (House)</t>
  </si>
  <si>
    <t>I/O L1/L2 outside modules incl. housing set, trim, connect.</t>
  </si>
  <si>
    <t>F/O L8 Linear Ceiling Lights Flush Into Cedar Ceilings, Lengths Confirmed By GC [WAC INVISILED PRO2+ LED-TC24-30-90-X-WT ANGLED RECESSED CHANNEL, WITH FROSTED DIFFUSER]  (House)</t>
  </si>
  <si>
    <t>F/O WAC InvisiLED Pro2+ tape + angled recessed channel + frosted diffuser, ~80 LF in cedar ceilings (lengths TBC by GC). Drivers on row 407.</t>
  </si>
  <si>
    <t>I/O L8 Linear Ceiling Lights [Not Specified]  (House)</t>
  </si>
  <si>
    <t>I/O L8 flush in cedar: channel set/coordination with carpenter, tape, diffuser, connect.</t>
  </si>
  <si>
    <t>I/O Factory-Supplied L12BB Step Lights On Black Steel Wall After Steel Install [WAC WL-LED200-C-BK BLACK]  (House)</t>
  </si>
  <si>
    <t>I/O factory-supplied L12BB black step lights on black steel wall after steel install.</t>
  </si>
  <si>
    <t>F/O L19 Bedside Reading Lamps (Guest) With Integral Switch [TBD]  (House)</t>
  </si>
  <si>
    <t>Owner allowance $200/EA (SUPP 6.11); 2 per guest bedroom x 3.</t>
  </si>
  <si>
    <t>I/O L19 Bedside Reading Lamps [Not Specified]  (House)</t>
  </si>
  <si>
    <t>I/O L19 bedside lamps w/ integral switch.</t>
  </si>
  <si>
    <t>F/O L20 Dining Pendants [TBD]  (House)</t>
  </si>
  <si>
    <t>Owner allowance $400/EA (SUPP 6.11); I/O already priced row 402.</t>
  </si>
  <si>
    <t>F/O L21 Primary Bedroom Pendants [TBD]  (House)</t>
  </si>
  <si>
    <t>Owner allowance $400/EA (SUPP 6.11); 2 per A1.22.</t>
  </si>
  <si>
    <t>I/O L21 Primary Bedroom Pendants [Not Specified]  (House)</t>
  </si>
  <si>
    <t>I/O L21 primary bedroom pendants.</t>
  </si>
  <si>
    <t>I/O Factory-Supplied Lights In Foyer Millwork Sleeve [SPEC'D LIGHTS IN SLEEVE SHIPPED LOOSE BY FACTORY, INSTALLED BY GC]  (House)</t>
  </si>
  <si>
    <t>I/O factory-supplied lights in foyer millwork sleeve (~4).</t>
  </si>
  <si>
    <t>F/I All Light Bulbs [ALL LIGHT BULBS TO BE PROVIDED BY GC.]  (House)</t>
  </si>
  <si>
    <t>Bulbs for pendants, lamps, misc. non-integral fixtures (most fixtures are integral LED).</t>
  </si>
  <si>
    <t>F/I Remote Transformers For Lighting, Accessible, Locations Coordinated In Field [Not Specified]  (House)</t>
  </si>
  <si>
    <t>Lutron-compatible remote drivers for L6A, L8, step lights; accessible locations.</t>
  </si>
  <si>
    <t>I/O L4 Exterior Downlights [Not Specified]  (House)</t>
  </si>
  <si>
    <t>I/O Juno MD1 exterior downlights in stucco/soffits, wet-location connect.</t>
  </si>
  <si>
    <t>Subtotal -- Base Bid -- Electrical (26)</t>
  </si>
  <si>
    <t>ALTERNATES -- ELECTRICAL</t>
  </si>
  <si>
    <t>[Electrical] Provide Disconnect And Safe-Off Of Existing Dwelling Electrical Service Prior To Demolition [Not Specified]</t>
  </si>
  <si>
    <t>Alt 1: utility disconnect coordination, safe-off and make-safe existing house service before demo.</t>
  </si>
  <si>
    <t>[Electrical] Provide Future GFI Hot Tub Circuit Provision At Roof Deck [FUTURE GFI HOT TUB]</t>
  </si>
  <si>
    <t>Alt 5: 60A GFCI spa disconnect + ~80 LF circuit to roof deck, capped for future hot tub.</t>
  </si>
  <si>
    <t>[Solar, Battery &amp; Generator] F/I Rooftop Solar Panels And Associated Equipment, Fully Ballasted For Flat Roofs [PANEL CLAW POLAR BEAR III OR EQUAL]</t>
  </si>
  <si>
    <t>Alt 7: ~8.4 kW (20 x 420W panels, ~440 SF) ballasted, microinverters, combiner, disconnect, interconnection, design/permit. Matches 9/28 solar number ($13,000 array + $10,850 electrical). Federal 25D credit expired 12/31/2025.</t>
  </si>
  <si>
    <t>[Solar, Battery &amp; Generator] F/I Solar Battery Backup System [Not Specified]</t>
  </si>
  <si>
    <t>Alt 8: one 13.5 kWh battery with integrated inverter/gateway, backup-loads panel, install, commissioning. Confirm platform matches solar (microinverter vs string).</t>
  </si>
  <si>
    <t>[Solar, Battery &amp; Generator] F/I Whole-House Generator [Not Specified]</t>
  </si>
  <si>
    <t>Alt 9: 24-26 kW air-cooled standby gen, 400A service-rated ATS, pad, electrical install, startup/permit. Gas piping by plumbing.</t>
  </si>
  <si>
    <t>Subtotal -- Alternates -- Electrical</t>
  </si>
  <si>
    <t>ALTERNATE 13 -- INTERIOR SHADES</t>
  </si>
  <si>
    <t>[Decorative Metal &amp; Railings] F/I Removable Custom Steel Valance At Roller Shades With Recessed Magnets Epoxied Into Head Trim [1/8" THK. STEEL PLATE WELDED TO 1-1/2" X 1-1/2" X 1/8" STEEL ANGLE, POWDER COATED WHITE; 1/2" DIA. X 3/8" THK. NEODYMIUM RARE EARTH DISC MAGNET N42 (PART NO. D86) FROM KJMAGNETICS.COM]</t>
  </si>
  <si>
    <t>Alt 13: ~145 LF of shade heads (24 openings). 1/8in plate on 1-1/2 angle, white powder coat, epoxied N42 magnets.</t>
  </si>
  <si>
    <t>[Window Treatments] F/I Battery-Powered Roller Shades Within Window Trim In White Architectural Fascia At Scheduled Locations [LUTRON BATTERY-POWERED ROLLER SHADES - SIVOIA QS TRIATHLON - CONTROLLED ON RADIORA SYSTEM]</t>
  </si>
  <si>
    <t>Alt 13: 24 Sivoia QS Triathlon battery shades, 20 openings (wide doors 115/120/224 split in 2). 2 small @ $850, 11 med @ $1,250, 11 large @ $1,750 furnish incl. fascia/jamb mount.</t>
  </si>
  <si>
    <t>[Window Treatments] F/I Primary Bedroom Blackout Shades And Ceiling-Mounted Shades At Windows / Doors 214, 215, 216 [LUTRON SIVOIA QS TRIATHLON SHADES W/ BLACKOUT FABRIC &amp; LUTRON PALLADIOM BATTERY-POWERED CLG-MTD SHADES]</t>
  </si>
  <si>
    <t>Alt 13: primary bed 214/215/216 = 4 Triathlon blackout (2 med @ $1,350, 2 large @ $1,850) + 4 Palladiom battery ceiling shades @ $3,200.</t>
  </si>
  <si>
    <t>[Window Treatments] Provide Mock-Up Of Roller Shade And Custom Valance Assembly [GC TO PREPARE MOCK-UP OF ROLLER SHADE &amp; CUSTOM VALANCE ASSEMBLY]</t>
  </si>
  <si>
    <t>Alt 13: one shade + valance mock-up at a typical window, then removal/reuse.</t>
  </si>
  <si>
    <t>Subtotal -- Alternate 13 -- Interior Shades</t>
  </si>
  <si>
    <t>Base electrical trade total (all rows 364-416 incl. previously priced blue/amber lines)</t>
  </si>
  <si>
    <t>Eun/Yu Residence -- 28 Country Club Lane South -- Schedule of Values</t>
  </si>
  <si>
    <t>Job E26040  |  28 Country Club Lane South, Briarcliff Manor, NY 10510  |  BLDG Estimating  |  2026-09-23</t>
  </si>
  <si>
    <t>Our Total and the sub columns link to the Estimate sheet. Final Price is entered by hand per trade and runs through the same Subtotal / General Conditions / Fee / Insurance ladder. Markup percentages are entered once on the Estimate sheet. The low sub bid in each row is highlighted.</t>
  </si>
  <si>
    <t>Trade</t>
  </si>
  <si>
    <t>Our Total</t>
  </si>
  <si>
    <t>Final Price</t>
  </si>
  <si>
    <t>Low Bid</t>
  </si>
  <si>
    <t>Low Bidder</t>
  </si>
  <si>
    <t>Low Bid vs Ours</t>
  </si>
  <si>
    <t>Demolition</t>
  </si>
  <si>
    <t>03.30.00, 03.40.00</t>
  </si>
  <si>
    <t>Concrete</t>
  </si>
  <si>
    <t>Structural Steel</t>
  </si>
  <si>
    <t>05.70.00, 05.73.00</t>
  </si>
  <si>
    <t>Decorative Metal &amp; Railings</t>
  </si>
  <si>
    <t>Rough Carpentry</t>
  </si>
  <si>
    <t>Decking</t>
  </si>
  <si>
    <t>06.20.00, 06.43.00</t>
  </si>
  <si>
    <t>Finish Carpentry &amp; Stairs</t>
  </si>
  <si>
    <t>Custom Millwork &amp; Closets</t>
  </si>
  <si>
    <t>07.10.00, 33.46.00</t>
  </si>
  <si>
    <t>Waterproofing &amp; Foundation Drainage</t>
  </si>
  <si>
    <t>Insulation</t>
  </si>
  <si>
    <t>07.24.00, 09.24.00</t>
  </si>
  <si>
    <t>EIFS &amp; Stucco</t>
  </si>
  <si>
    <t>07.25.00, 07.46.00</t>
  </si>
  <si>
    <t>Siding &amp; Weather Barriers</t>
  </si>
  <si>
    <t>07.33.63, 07.53.23, 07.62.00</t>
  </si>
  <si>
    <t>Roofing &amp; Sheet Metal</t>
  </si>
  <si>
    <t>08.14.16, 08.71.00</t>
  </si>
  <si>
    <t>Doors, Frames &amp; Hardware</t>
  </si>
  <si>
    <t>Overhead Garage Door</t>
  </si>
  <si>
    <t>Windows</t>
  </si>
  <si>
    <t>08.80.00, 08.83.00</t>
  </si>
  <si>
    <t>Glass &amp; Glazing</t>
  </si>
  <si>
    <t>Drywall &amp; Carpentry</t>
  </si>
  <si>
    <t>Tile</t>
  </si>
  <si>
    <t>Wood Flooring</t>
  </si>
  <si>
    <t>Painting</t>
  </si>
  <si>
    <t>Specialties</t>
  </si>
  <si>
    <t>Appliances</t>
  </si>
  <si>
    <t>Countertops</t>
  </si>
  <si>
    <t>Modular Factory Package &amp; Set</t>
  </si>
  <si>
    <t>22.11.16, 22.13.16, 22.14.29, 22.34.00, 22.40.00, 23.11.23</t>
  </si>
  <si>
    <t>Plumbing &amp; Gas</t>
  </si>
  <si>
    <t>23.30.00, 23.81.46</t>
  </si>
  <si>
    <t>Low Voltage, AV &amp; Security</t>
  </si>
  <si>
    <t>26.05.19, 26.09.23, 26.21.00, 26.24.16, 26.27.26, 26.51.13, 26.56.00</t>
  </si>
  <si>
    <t>Electrical</t>
  </si>
  <si>
    <t>Site Clearing &amp; Erosion Control</t>
  </si>
  <si>
    <t>Earthwork &amp; Excavation Support</t>
  </si>
  <si>
    <t>Helical Piles</t>
  </si>
  <si>
    <t>32.14.00, 32.32.00</t>
  </si>
  <si>
    <t>Hardscape &amp; Retaining Walls</t>
  </si>
  <si>
    <t>Site Utilities &amp; Stormwater</t>
  </si>
  <si>
    <t>ALTERNATES</t>
  </si>
  <si>
    <t>Our Direct links to the alternate blocks on the Estimate sheet (row 501 on). Enter a Final Price (direct cost) to override ours: General Conditions, Fee and Insurance then compound on the Final Price. Variance = Proposal Amount minus Burdened Total. Red rows are priced but not on the issued proposal.</t>
  </si>
  <si>
    <t>Alternate</t>
  </si>
  <si>
    <t>Our Direct</t>
  </si>
  <si>
    <t>Burdened Total</t>
  </si>
  <si>
    <t>Proposal Amount</t>
  </si>
  <si>
    <t>Variance</t>
  </si>
  <si>
    <t>Proposal Ref</t>
  </si>
  <si>
    <t>02.41.16, 26.05.19</t>
  </si>
  <si>
    <t>Alternate 1 -- Demolition of Existing House</t>
  </si>
  <si>
    <t>Not issued</t>
  </si>
  <si>
    <t>Alternate 3 -- CULTEC System and Site Drainage</t>
  </si>
  <si>
    <t>Alternate 4 -- Deduct -- Cable Railings in Lieu of Glass</t>
  </si>
  <si>
    <t>06.15.00, 07.46.00, 13.17.00, 26.05.19</t>
  </si>
  <si>
    <t>Alternate 5 -- Upper Roof Deck (Cedar, Ipe, Hot Tub)</t>
  </si>
  <si>
    <t>Alternate 6 -- Green Roofs with Irrigation</t>
  </si>
  <si>
    <t>Alternate 7 -- Rooftop Solar Panels</t>
  </si>
  <si>
    <t>Alternate 8 -- Solar Battery Backup</t>
  </si>
  <si>
    <t>Alternate 9 -- Whole-House Generator</t>
  </si>
  <si>
    <t>Alternate 10 -- Energy-Recovery Ventilator (ERV)</t>
  </si>
  <si>
    <t>Alternate 11 -- Security System</t>
  </si>
  <si>
    <t>Alternate 12 -- AV Equipment, Speakers and Wi-Fi</t>
  </si>
  <si>
    <t>05.70.00, 12.24.00</t>
  </si>
  <si>
    <t>Alternate 13 -- Interior Shades</t>
  </si>
  <si>
    <t>Alternate 14 -- Stair Glazing Privacy Film</t>
  </si>
  <si>
    <t>Alternate -- Laminated Glazing Upgrade (A0.20 Note 03)</t>
  </si>
  <si>
    <t>TOTAL -- ALTERNATES ON PROPOSAL</t>
  </si>
  <si>
    <t>TOTAL -- PRICED, NOT ON PROPOSAL</t>
  </si>
  <si>
    <t>Eun/Yu Residence -- 28 Country Club Lane South -- Notes &amp; Clarifications</t>
  </si>
  <si>
    <t>Type</t>
  </si>
  <si>
    <t>Item</t>
  </si>
  <si>
    <t>Clarification</t>
  </si>
  <si>
    <t>EXCLUSION</t>
  </si>
  <si>
    <t>Waterproofing Membrane</t>
  </si>
  <si>
    <t>Slope Stabilization</t>
  </si>
  <si>
    <t>Finished Basement</t>
  </si>
  <si>
    <t>Upper Roof Deck Finishes and Hot Tub</t>
  </si>
  <si>
    <t>Owner-Furnished Items</t>
  </si>
  <si>
    <t>CLARIFICATION</t>
  </si>
  <si>
    <t>Scope is based on the Resolution: 4 Architecture Budget Pricing Set dated 09/01/2026 ("BUDGET PRICING SET. NOT FOR CONSTRUCTION."), preliminary structural redlines dated 07/07/2026, Hudson Engineering civil set revised 07/30/2026, and the Carlin-Simpson geotechnical report dated 03/23/2026. Pricing is budgetary, not a fixed bid.</t>
  </si>
  <si>
    <t>Owner-Directed Allowances</t>
  </si>
  <si>
    <t>HVAC Factory Install</t>
  </si>
  <si>
    <t>Helical Pile Locations</t>
  </si>
  <si>
    <t>Geotech requires helical piles at the deck footings and two living room columns. Final pile locations will be confirmed by CSA once plans are developed. The structural redline shows two 9'x9' pile caps with (4) piles each but does not name the pile type. (GEO p.9, S-RL A1.10)</t>
  </si>
  <si>
    <t>Geotechnical Inspections</t>
  </si>
  <si>
    <t>E&amp;SC Inspections</t>
  </si>
  <si>
    <t>Stormwater As-Built</t>
  </si>
  <si>
    <t>Percolation Testing</t>
  </si>
  <si>
    <t>Existing North Retaining Wall</t>
  </si>
  <si>
    <t>Steep Slopes Behind Retaining Wall</t>
  </si>
  <si>
    <t>Backyard Cut/Fill Overlap</t>
  </si>
  <si>
    <t>Adjoining Owner Notice</t>
  </si>
  <si>
    <t>Written notice to adjoining owners is required not less than 10 days before excavation starts. (C-1 Gen. Note 12)</t>
  </si>
  <si>
    <t>Additional Insured</t>
  </si>
  <si>
    <t>Appliance Vendor Scope</t>
  </si>
  <si>
    <t>Basement Phase 1 Limits</t>
  </si>
  <si>
    <t>Structural Engineering Pending</t>
  </si>
  <si>
    <t>Utility Routing Not Shown</t>
  </si>
  <si>
    <t>Eun/Yu Residence -- 28 Country Club Lane South -- Estimate Review (Internal)</t>
  </si>
  <si>
    <t>Internal only. Items found reconciling the estimate, the cost detail and the issued proposal. Do not send.</t>
  </si>
  <si>
    <t>No.</t>
  </si>
  <si>
    <t>Priority</t>
  </si>
  <si>
    <t>Area</t>
  </si>
  <si>
    <t>Finding</t>
  </si>
  <si>
    <t>Direct $ at Stake</t>
  </si>
  <si>
    <t>Action Before Issue</t>
  </si>
  <si>
    <t>HIGH</t>
  </si>
  <si>
    <t>Takeoff Mapping</t>
  </si>
  <si>
    <t>Takeoff lines mapped by meaning: 85 SOW lines priced from NOVATerra (blue), 12 SOW lines covered by an adjacent priced line (INCL), 6 added lines with no SOW match (amber). Concrete rows 70, 72, 73 are REPLACED by the drawing takeoff (green, see next finding). Component detail for every priced line is on the hidden Quantity Basis sheet.</t>
  </si>
  <si>
    <t>Spot-check the Quantity Basis sheet before issue.</t>
  </si>
  <si>
    <t>Concrete Repriced</t>
  </si>
  <si>
    <t>NOVATerra rows 70 (pile cap, 1 EA $1,122), 72 (footings, 1 EA $23,678) and 73 (foundation walls, 1 EA $240,040) totaled $264,840.20 with no measurable quantity and no slabs. Replaced by the drawing takeoff: 3658.7 CY at $600/CY base adjusted per line (stairs +100%, pile caps +25%, footings -10%, etc.) = $155,318.73, a $109,521.47 reduction. Adds basement, garage and terrace slabs, terrace stairs, stair frost footings and 12 post footings that NOVATerra missed. Retaining walls sit on Hardscape 32 32 00 and stairs on 32 14 00.</t>
  </si>
  <si>
    <t>Send the CY-by-element list to the concrete sub. Footing sizes, pile cap depth and rebar are assumed (no structural drawings); re-run when S-drawings issue.</t>
  </si>
  <si>
    <t>MED</t>
  </si>
  <si>
    <t>Concrete Accessories Priced</t>
  </si>
  <si>
    <t>Priced at Matt's rates: 2-in rigid under basement slab 1,241 SF @ $3.50 (moved to Sitework), crushed stone 79.4 CY @ $105 (slabs 70.2 + footings 9.2), dampproofing 1,937 SF @ $2.50 (upper bound), foundation drain 152 LF @ $18. Confirmed: 15-mil vapor barrier 1,365 SF @ $0.85 (Sitework), precast sill at #003 15.83 LF @ $95. Total $22,929.34. Footing/anchor/threshold/finish lines marked INCL in concrete $/CY; waterproofing membrane EXCLUDED and qualified.</t>
  </si>
  <si>
    <t>Vapor barrier and precast sill rates confirmed by Matt 2026-09-23. No action.</t>
  </si>
  <si>
    <t>Markups</t>
  </si>
  <si>
    <t>Takeoff Summary adds OH 10%%, Profit 10%%, Contingency 5%%, Insurance 2%% additively (27%%) for $2,068,406.24. This workbook has three compounding markups (GC / Fee / Insurance), left blank. Entering 10 / 15 / 2 here compounds to more than the additive number.</t>
  </si>
  <si>
    <t>Decide markup structure and enter the three percentages on the Estimate ladder.</t>
  </si>
  <si>
    <t>Roofing Membrane</t>
  </si>
  <si>
    <t>Takeoff prices TPO on all four site-built roof areas. Drawings specify EPDM (Carlisle) everywhere. Priced under the EPDM SOW lines.</t>
  </si>
  <si>
    <t>Reprice as EPDM or RFI.</t>
  </si>
  <si>
    <t>Driveway Surface</t>
  </si>
  <si>
    <t>Takeoff prices 3,359 SF asphalt. SOW carries cobblestone driveway / auto court with Belgian block curb (Belgian block unpriced). Asphalt priced under the cobblestone line.</t>
  </si>
  <si>
    <t>Resolve the driveway conflict RFI, then reprice.</t>
  </si>
  <si>
    <t>Unpriced Base Scope</t>
  </si>
  <si>
    <t>222 base SOW lines have no takeoff price (unshaded rows), including the factory module package and set, crane, excavation and fill, dewatering, slab, dampproofing and foundation drain, EIFS, glass guardrails, insulation, HVAC, plumbing and gas distribution, electrical rough and service, Lutron, site utilities, retaining walls and interior stair.</t>
  </si>
  <si>
    <t>Get sub numbers or carry allowances before issue.</t>
  </si>
  <si>
    <t>Steel Units</t>
  </si>
  <si>
    <t>HSS posts P1-P5, (2) 2x6 steel plates and the W12x65 column are in EA, but the quantities are pounds (about $3.50 per unit). Totals are fine; the unit label is wrong.</t>
  </si>
  <si>
    <t>Relabel as LB in the takeoff.</t>
  </si>
  <si>
    <t>Steel Duplicate Risk</t>
  </si>
  <si>
    <t>Three W12x65 lines: unassigned F/I W12x65 1,245.4 LB (row 67), W12x65 Steel Beam 1,964.95 LB and W12x65 Column 1,300. Row 67 has no division and looks like a leftover. Mapped with the WF columns on pile caps.</t>
  </si>
  <si>
    <t>Confirm or delete row 67.</t>
  </si>
  <si>
    <t>Pocket Door 104A</t>
  </si>
  <si>
    <t>Takeoff prices F/O door 104A and Johnson soft-close hardware. Drawings say 104A comes factory-supplied, shipped loose. Added as amber lines; likely double count.</t>
  </si>
  <si>
    <t>Confirm with the factory estimate; delete if included.</t>
  </si>
  <si>
    <t>Lighting Split</t>
  </si>
  <si>
    <t>L12A, L12B and L1A are priced F/I, so their I/O rows show INCL. L4 is priced F/O only, so I/O L4 (38 EA) is unpriced. L1/L2, L8, L19, L20 (F/O) and L21 are unpriced. L6A millwork lights are priced but not in the SOW.</t>
  </si>
  <si>
    <t>Price the missing F/O and I/O lines.</t>
  </si>
  <si>
    <t>Framing Area Assignment</t>
  </si>
  <si>
    <t>The takeoff has unlabeled roof and wall assemblies. My calls: 951 + 151 SF TJI/ZIP roofs go to site-built roof overhangs (1,102.55 SF); 1,042 + 118 SF 2x10/OSB roofs go to the garage roof (1,160.30 SF); the 148.5 SF 2x6/CDX/Tyvek wall goes to the garage exterior wall; the 218 SF 2x4 wall goes to interior partitions. Matching roofing and flashing follow the same split.</t>
  </si>
  <si>
    <t>Confirm areas against the takeoff markups.</t>
  </si>
  <si>
    <t>Window Install Labor</t>
  </si>
  <si>
    <t>I/O Window (22 EA, $6,600) spread at $300/EA across basement (3), front stair (16) and garage (3). The I/O French door goes with garage door #128.</t>
  </si>
  <si>
    <t>None if the split is right.</t>
  </si>
  <si>
    <t>LOW</t>
  </si>
  <si>
    <t>Drain Inlets</t>
  </si>
  <si>
    <t>All six precast inlets (18, 24 and 36 in.) carried on the driveway / north-of-house inlet line. The CULTEC solid-cover inlets show INCL.</t>
  </si>
  <si>
    <t>Split by location if the Owner wants the detail.</t>
  </si>
  <si>
    <t>Temporary Fencing</t>
  </si>
  <si>
    <t>963.63 LF temporary construction fence is mapped to project limiting fence. Construction fence around the infiltration areas is unpriced.</t>
  </si>
  <si>
    <t>Confirm the takeoff fence covers both.</t>
  </si>
  <si>
    <t>Siding at Garage</t>
  </si>
  <si>
    <t>One S-1 cedar siding quantity (4,304.92 SF) covers house and garage. The garage siding line shows INCL.</t>
  </si>
  <si>
    <t>Split if garage is priced separately.</t>
  </si>
  <si>
    <t>Conflict -- Window / Exterior Door Manufacturer</t>
  </si>
  <si>
    <t>MARVIN ESSENTIAL / ELEVATE COLLECTION (A0.20 Gen. Notes 01-02) vs. ANDERSEN A-SERIES WINDOW &amp; EXTERIOR DOOR PACKAGE PER QUOTE #9308634 (SBS 5-2)</t>
  </si>
  <si>
    <t>RFI to Re4a; carry first-listed spec until answered.</t>
  </si>
  <si>
    <t>Conflict -- HVAC System Type</t>
  </si>
  <si>
    <t>GEOTHERMAL SMALL-DUCT, HIGH-VELOCITY SYSTEM (SUPP Sec. 6.14; GEO HEAT PUMP / FLOW CENTER / GEO BUFFER on A1.20; TAPROOTGEO on SBS 6-1) vs. WEIL-MCLAIN HIGH-EFFICIENCY "ULTRA" GAS BOILER W/ HYDRO AIR HEATING &amp; HIGH VELOCITY A/C (A0.10)</t>
  </si>
  <si>
    <t>Conflict -- Driveway Surface</t>
  </si>
  <si>
    <t>COBBLESTONE, DETAILS TBD (A0.10, SUPP Sec. 6.2, landscape renderings) vs. PROPOSED ASPHALT DRIVEWAY W/ BELGIAN BLOCK CURB, 2" TOP COURSE TYPE 6 F2 OVER 4" TYPE 2 SUBBASE (C-2, C-4)</t>
  </si>
  <si>
    <t>Conflict -- Auto Court Retaining Wall and Stone Landscape Wall</t>
  </si>
  <si>
    <t>GC SCOPE PER KEYNOTE 2 / SUPP Sec. 6.4 / A0.02 (A1.10-A1.12, SUPP) vs. PROPOSED RETAINING WALL (BY OTHERS) / PROPOSED STONE LANDSCAPE WALL (BY OTHERS) (C-2)</t>
  </si>
  <si>
    <t>Conflict -- Retaining Wall Finish</t>
  </si>
  <si>
    <t>PARGED POURED-CONCRETE RETAINING WALLS WITH PRECAST CONCRETE COPING (SUPP Sec. 6.4, A2.00 Gen. Note 05) vs. W/ STACKED STONE VENEER AND STONE COPING (S-RL A1.10 Keynote 2)</t>
  </si>
  <si>
    <t>Conflict -- Foundation Wall Exterior Finish</t>
  </si>
  <si>
    <t>SPEC'D EIFS ASSEMBLY / SPEC'D STUCCO OVER 3" EIFS SYSTEM BY GC (02/A1.10, 02/A3.00) vs. SPEC'D STONE VENEER W/ AIR SPACE OVER SPEC'D CONT. RIGID INSULATION (S-RL A1.10 Detail 02)</t>
  </si>
  <si>
    <t>Conflict -- Under-Slab Barrier</t>
  </si>
  <si>
    <t>STEGO WRAP 15-MIL VAPOR BARRIER (04/A0.24) vs. OVER VAPOR BARRIER TYP. (02/A1.10) vs. OVER WATER MEMBRANE BARRIER TYP. (S-RL A1.10 Detail 02)</t>
  </si>
  <si>
    <t>Conflict -- P1 Post Size</t>
  </si>
  <si>
    <t>P1 - HSS 12x4x1/2" (S-RL A1.11-A1.13 legend) vs. P1 - HSS 12x3x3/8" (S-RL A1.10 legend) vs. 4"X12" RECTANGULAR STEEL POSTS (Arch Keynote 1)</t>
  </si>
  <si>
    <t>Conflict -- Garage Roof LVL Beam</t>
  </si>
  <si>
    <t>(3) 1 3/4"X9 1/2" LVL vs. (3) 1 3/4"x9 1/4" LVL (both on S-RL A1.12)</t>
  </si>
  <si>
    <t>Conflict -- Solar Conduit Type</t>
  </si>
  <si>
    <t>(2X) 2" PVC CONDUIT (A1.30-A1.33) vs. SOLAR CONDUIT: (2X) 2" EMT BY FACTORY (A0.10) vs. 2" EMT CONDUIT FOR FUTURE SOLAR (SBS 7-33)</t>
  </si>
  <si>
    <t>Conflict -- Slope Erosion Matting</t>
  </si>
  <si>
    <t>PYRAMAT HIGH PERFORMANCE TURF REINFORCEMENT MAT (HPTRM) BY GEOSOLUTIONS (C-4) vs. CURLEX EXCELSIOR EROSION CONTROL BLANKETS (AMERICAN EXCELSIOR OR APPROVED EQUAL) (Narrative p.14)</t>
  </si>
  <si>
    <t>Conflict -- Temporary Stormwater Maintenance Responsibility</t>
  </si>
  <si>
    <t>OWNER, FILED WITH TOWN OF MOUNT PLEASANT (C-5 Construction Phase, Narrative p.9) vs. CONTRACTOR, FILED WITH CITY OF WHITE PLAINS AND NYSDEC (C-5 Maintenance Table Note)</t>
  </si>
  <si>
    <t>Conflict -- Existing House Demolition</t>
  </si>
  <si>
    <t>ADD ALTERNATE #1, FINAL RESPONSIBILITY TBD (SUPP Sec. 7.1) vs. GC BASE SCOPE: DEMO OF EXIST. HOUSE (A0.10)</t>
  </si>
  <si>
    <t>Conflict -- Rough Grading / Cut and Fill</t>
  </si>
  <si>
    <t>ADD ALTERNATE #2 FROM EL. 52.5' UP; BASE LIMITED TO LOCALIZED GRADING AROUND HOUSE (SUPP Sec. 6.1, Sec. 7.2) vs. GC BASE SCOPE: CUT/FILL/REGRADE TOPOGRAPHY PER SITE &amp; GRADING PLANS (A0.10) vs. BACKYARD CUT/FILL IN MRCE PROCEDURES (MRCE SS-001)</t>
  </si>
  <si>
    <t>Conflict -- Green Roof</t>
  </si>
  <si>
    <t>ADD ALTERNATE: LIVEROOF 'STANDARD' PREVEGETATED TRAYS (A0.10, SUPP Sec. 7.6) vs. SPEC'D MODULAR GREEN ROOF TRAYS shown as base on plans (A1.10-A1.13 Keynote 6) vs. GREEN ROOF PER LANDSCAPE ARCHITECT DRAWINGS (10/A5.00)</t>
  </si>
  <si>
    <t>Conflict -- Deck Planters</t>
  </si>
  <si>
    <t>DECKS INCLUDE ... PLANTERS (SUPP Sec. 5); BUILT-IN PLANTERS BY GC (A0.10) vs. EXCLUDED: INTEGRATED ROOF/BUILDING PLANTERS (SUPP Sec. 8.1)</t>
  </si>
  <si>
    <t>Conflict -- Terrace Surface</t>
  </si>
  <si>
    <t>NT PAVERS - DARK GREY PORCELAIN PAVERS 24X48 (SUPP Sec. 6.7) vs. PAVERS TBD (A1.41) vs. T.O. STONE TERRACE (A2.00 datum)</t>
  </si>
  <si>
    <t>Conflict -- Basement Opening Interior Finish</t>
  </si>
  <si>
    <t>1/2" PTD. GWB, 2X4 FURRING ON FLAT, 3/4" THK. PTD. WD. TRIM (01-04/A0.24) vs. WEATHERTIGHT WITHOUT FINISHED INTERIOR TRIM; EXCLUDE GYPSUM BOARD (SUPP Sec. 2)</t>
  </si>
  <si>
    <t>Conflict -- Primary Bath Switch Location</t>
  </si>
  <si>
    <t>SWITCHES REMOTED IN TOP OF CABINET, BY FACTORY (RCP Keynote 7) vs. SWITCHED REMOTED IN BOTTOM OF CABINET (A1.22) / BOTTOM OF CABINET BEHIND HAMPERS (03/A4.04)</t>
  </si>
  <si>
    <t>Conflict -- Keypad Tags</t>
  </si>
  <si>
    <t>RA(3)1-4 POWDER RM and RA(3)1-9 LIVING (A1.21 Keypad Schedule) vs. RA(4)1-4 and RA(3H)1-9 (A1.21 plan tags)</t>
  </si>
  <si>
    <t>Conflict -- Vanity Pulls</t>
  </si>
  <si>
    <t>TOP KNOBS 18" SQ. BAR PULLS SATIN NICKEL, BY GC (02/A4.01, 07/A4.01, 08/A4.05) vs. INTEGRAL PULL DETAIL U.O.N.; TOP KNOBS EUROPA 5'' AT FULL HEIGHT DOORS BY FACTORY (A4.00 Gen. Millwork Note 08)</t>
  </si>
  <si>
    <t>Conflict -- L12B Step Light Finish</t>
  </si>
  <si>
    <t>WAC WL-LED200-C-BK, FINISH WHITE (A0.11 02) vs. WAC WL-LED200-C-WT (SBS 7-29)</t>
  </si>
  <si>
    <t>Conflict -- Wired Keypads in Modules</t>
  </si>
  <si>
    <t>RRST-W3RL-WH KEYPADS, RRST-W4B-WH KEYPADS AND MAESTRO MA-T51-WH MARKED N/A, NOT IN FACTORY PRICE (SBS 7-6, 7-7, 7-8) vs. FACTORY TO SUPPLY AND SHIP-LOOSE ALL WIRED RADIORA CONTROLS TO BE LOCATED IN MODULES (A1.20 RadioRA3 Scope 01)</t>
  </si>
  <si>
    <t>Conflict -- Primary Bath Toilet Door</t>
  </si>
  <si>
    <t>203D POCKET DOOR SUPPLIED &amp; INSTALLED BY MANF. (A0.30) vs. SHOWER &amp; TOILET DOORS ARE ONSITE BY OTHERS (SBS 15-21)</t>
  </si>
  <si>
    <t>Conflict -- Warming Drawer</t>
  </si>
  <si>
    <t>WOLF WWD30 W/ INTEGRATED FRONT PANEL KIT - 808152 (A0.11 03) vs. WOLF WWD3050O, NO SEPARATE FRONT PANEL KIT NEEDED (PROP Appliances)</t>
  </si>
  <si>
    <t>Conflict -- Wine Storage / Undercounter Refrigerator Models</t>
  </si>
  <si>
    <t>SUBZERO DEC1850W and UC-2450R (A0.11 03) vs. DEC1850WR and DEU2450RR, RIGHT HINGE (PROP Appliances)</t>
  </si>
  <si>
    <t>Conflict -- Outdoor Grill Fuel</t>
  </si>
  <si>
    <t>GAS PIPING AS REQ'D PER PLANS (A0.10) vs. WOLF OG36LP / BM13LP, LP, CONFIRM GAS TYPE (PROP Appliances)</t>
  </si>
  <si>
    <t>Conflict -- Primary Bath Medicine Cabinets</t>
  </si>
  <si>
    <t>ROBERN MR1636D4FPE2L, MR1636D4FPE2R 15-1/4'' X 36'' X 4" (A0.11 01) vs. ROBERN MR1640D6FPE2L &amp; MR1640D6FPE2R (SBS 15-3)</t>
  </si>
  <si>
    <t>Conflict -- Guest Bath 2 / 3 Countertop Thickness</t>
  </si>
  <si>
    <t>1/2" THK. CORIAN COUNTERTOP (08/A4.05, 12/A4.05) vs. 1 1/2" THICK CORIAN (SBS 13-5, 14-5; A0.10 CT-2)</t>
  </si>
  <si>
    <t>Conflict -- Door Sill Pans</t>
  </si>
  <si>
    <t>LEAD-COATED COPPER SILL PAN UNDER DOOR W/ FORMED BACK DAM &amp; END DAMS (SOLDERED AT CORNERS) (04/A0.21, 05/A0.21) vs. SILL PANS ON ALL EXTERIOR DOORS, TYPE NOT STATED (SBS 5-3)</t>
  </si>
  <si>
    <t>TBD -- Cobblestone Driveway</t>
  </si>
  <si>
    <t>Details, pattern and material (A0.10, SUPP Sec. 6.2)</t>
  </si>
  <si>
    <t>Carry allowance or qualify in proposal.</t>
  </si>
  <si>
    <t>TBD -- Retaining / Landscape Walls</t>
  </si>
  <si>
    <t>Final design pending landscape architect and structural (A0.10, SUPP Sec. 6.4)</t>
  </si>
  <si>
    <t>TBD -- Terrace Hardscape and Pavers</t>
  </si>
  <si>
    <t>Final paver selection and layout (A0.10, A1.41)</t>
  </si>
  <si>
    <t>TBD -- Terrace Drainage</t>
  </si>
  <si>
    <t>Drain layout pending (SUPP Sec. 6.8)</t>
  </si>
  <si>
    <t>TBD -- Fences / Gates</t>
  </si>
  <si>
    <t>Type, height and locations (landscape architect) (A0.10)</t>
  </si>
  <si>
    <t>TBD -- Temporary Basement Walls and Door 000A</t>
  </si>
  <si>
    <t>Configuration TBC (A1.10)</t>
  </si>
  <si>
    <t>TBD -- Crushed Stone Footing</t>
  </si>
  <si>
    <t>Depth and type TBD by GC per local codes (02/A1.10)</t>
  </si>
  <si>
    <t>TBD -- Foundations, Walls, Slabs, Steel</t>
  </si>
  <si>
    <t>Final structural engineering pending (SUPP Sec. 6.3, Sec. 6.5, S-RL)</t>
  </si>
  <si>
    <t>TBD -- Helical Pile Locations / Count</t>
  </si>
  <si>
    <t>To be confirmed by CSA once plans developed (GEO p.9)</t>
  </si>
  <si>
    <t>TBD -- HVAC Design</t>
  </si>
  <si>
    <t>System design by consultant pending; factory vs. site split pending (SUPP Sec. 6.14)</t>
  </si>
  <si>
    <t>TBD -- Deck Over Basement Spray Foam</t>
  </si>
  <si>
    <t>Up to R-70 pending REScheck / energy calcs (SUPP Sec. 6.12)</t>
  </si>
  <si>
    <t>TBD -- L19 / L20 / L21 Fixtures</t>
  </si>
  <si>
    <t>Manufacturer and model TBD (A0.11 02)</t>
  </si>
  <si>
    <t>TBD -- Paint Colors</t>
  </si>
  <si>
    <t>All interior paint colors TBD (A0.10)</t>
  </si>
  <si>
    <t>TBD -- S-1 / S-2 Stain Colors</t>
  </si>
  <si>
    <t>Black stain and light/bleached stain TBD (A0.10 Finish Sch.)</t>
  </si>
  <si>
    <t>TBD -- Butcher Block Stair Treads</t>
  </si>
  <si>
    <t>Species and finish ("REF. GENERAL NOTES" - notes not in set) (01/A2.20)</t>
  </si>
  <si>
    <t>TBD -- Floor Outlet Locations</t>
  </si>
  <si>
    <t>Pending furniture layout (A1.31)</t>
  </si>
  <si>
    <t>TBD -- EV Subpanel Location</t>
  </si>
  <si>
    <t>To be coordinated with architect (A1.31)</t>
  </si>
  <si>
    <t>TBD -- Wireless Access Points</t>
  </si>
  <si>
    <t>Locations and specs to be confirmed by GC AV sub (A1.20)</t>
  </si>
  <si>
    <t>TBD -- Keypad Button Schedule</t>
  </si>
  <si>
    <t>To be confirmed with Owners before engraving (A1.21 03)</t>
  </si>
  <si>
    <t>TBD -- Roof Drain and Scupper Locations</t>
  </si>
  <si>
    <t>Not drawn on roof plan (A1.13, 05/A5.00)</t>
  </si>
  <si>
    <t>TBD -- Green Roof Specification</t>
  </si>
  <si>
    <t>Pending landscape architect coordination (10/A5.00, SUPP Sec. 7.6)</t>
  </si>
  <si>
    <t>TBD -- Glass Rail Shoe / Parapet Details</t>
  </si>
  <si>
    <t>To be coordinated by architects (A2.00 Gen. Note 06)</t>
  </si>
  <si>
    <t>TBD -- Doghouse Manhole Invert</t>
  </si>
  <si>
    <t>INV.=TBD (C-2)</t>
  </si>
  <si>
    <t>TBD -- Curtain Drain / Trench Drain</t>
  </si>
  <si>
    <t>Shown in legend and sequencing but locations not drawn (C-2, C-5)</t>
  </si>
  <si>
    <t>TBD -- Percolation Tests</t>
  </si>
  <si>
    <t>To be performed at a later date (Narrative p.5)</t>
  </si>
  <si>
    <t>TBD -- Utility Service Routes and Sizes</t>
  </si>
  <si>
    <t>Not shown on civil drawings (C-2)</t>
  </si>
  <si>
    <t>Internal -- quantity basis by line</t>
  </si>
  <si>
    <t>Remove Existing Dwelling And Dispose Off-Site [EXISTING DWELLING TO BE DEMOLISHED AND DISPOSED OF OFF-SITE (TYP.)]</t>
  </si>
  <si>
    <t>Source: C-1, A0.10, SUPP Sec. 7.1  |  Pricing section: Alternate #1  |  TAKEOFF: 3,391.41 SF -- Demo 2 Story House &amp; Covered Porch Including Foundations = $40,696.92 (row 193)</t>
  </si>
  <si>
    <t>Remove Existing Pool, Pool Equipment And Associated Concrete Pads, Spa, Pond, Patios And Porch [Not Specified]</t>
  </si>
  <si>
    <t>Source: A0.10, C-1  |  Pricing section: Alternate #1</t>
  </si>
  <si>
    <t>Provide Hazardous Materials Evaluation Of Existing Structures Prior To Demolition, Including Handling And Disposal Of Regulated Materials [Not Specified]</t>
  </si>
  <si>
    <t>Source: C-3 Site Note 5  |  Pricing section: Alternate #1</t>
  </si>
  <si>
    <t>Remove Existing Utility Pipe, Structures And Loose Fill Within Building Area And Backfill With Controlled Fill [Not Specified]</t>
  </si>
  <si>
    <t>Source: GEO p.7  |  Pricing section: Alternate #1</t>
  </si>
  <si>
    <t>Remove Existing Stone Pillars And Metal Gates From Right-Of-Way [EXIST. STONE PILLARS &amp; METAL GATES SHALL BE REMOVED FROM RIGHT-OF-WAY]</t>
  </si>
  <si>
    <t>Source: A0.02, C-1  |  Pricing section: Hardscape  |  TAKEOFF: 5.00 EA -- Remove Stone Pillar = $2,500.00 (row 68); 49.60 LF -- Remove Metal Gates = $744.00 (row 69)</t>
  </si>
  <si>
    <t>Remove Existing Stone Retaining Wall Remnant And Feather Out Grading To Match Adjacent Contours [EXIST. STONE RETAINING WALL REMNANT TO BE REMOVED. REFER TO ENG. DWGS.]</t>
  </si>
  <si>
    <t>Source: A0.02, C-1  |  Pricing section: Hardscape  |  TAKEOFF: 80.26 LF -- Remove Retaining Wall = $1,605.20 (row 195)</t>
  </si>
  <si>
    <t>Remove Existing Driveway And Associated Steps [EXISTING DRIVEWAY AND ASSOCIATED STEPS TO BE REMOVED (TYP.)]</t>
  </si>
  <si>
    <t>Source: A0.10, C-1, C-5 Phase 1A  |  Pricing section: Hardscape  |  TAKEOFF: 647.11 SF -- Remove Concrete Walkway = $2,588.44 (row 194); 5,524.76 SF -- Remove Paver Driveway &amp; Patio = $8,287.14 (row 196)</t>
  </si>
  <si>
    <t>Protect Existing Stone Walls To Remain Along North And South Property Lines And Existing Northwest Stone Retaining Wall [Not Specified]</t>
  </si>
  <si>
    <t>Source: A0.02, C-1  |  Pricing section: Site</t>
  </si>
  <si>
    <t>Protect And Maintain Existing Catch Basins And Drain Inlets To Remain [EXISTING DRAIN INLET TO REMAIN AND BE MAINTAINED]</t>
  </si>
  <si>
    <t>Source: A0.02, C-1, C-2  |  Pricing section: Site</t>
  </si>
  <si>
    <t>Protect Adjoining Public And Private Property From Damage During Demolition And Excavation [Not Specified]</t>
  </si>
  <si>
    <t>Source: C-1 Gen. Note 12  |  Pricing section: Site</t>
  </si>
  <si>
    <t>F/I Reinforced Concrete Foundation Walls And Footings At House Basement [REINFORCED CONC. FOUNDATION WALL &amp; FOOTING AS PER STR. ENG. DWGS]</t>
  </si>
  <si>
    <t>Source: 02/A1.10, S-RL A1.10, SUPP Sec. 6.3  |  Pricing section: Foundation  |  DRAWING TAKEOFF (E26040_Concrete-Takeoff_v2): Basement walls 10" x 12'-10" 62.76 CY @ $660/CY = $41,420.87 [P1.2]; Pit / areaway walls 6.28 CY @ $750/CY = $4,711.91 [P2.2]; Basement footings 24"x12" 12.91 CY @ $540/CY = $6,974.10 [P10.1]</t>
  </si>
  <si>
    <t>F/I Spread Footings Bearing On Virgin Soil Or New Structural Fill [NET DESIGN BEARING PRESSURE 4,000 PSF; MINIMUM FROST DEPTH 42 INCHES]</t>
  </si>
  <si>
    <t>Source: GEO Table 2  |  Pricing section: Foundation  |  TAKEOFF: included in priced line 033000-0</t>
  </si>
  <si>
    <t>F/I 4" Sealed Reinforced Concrete Basement Slab Over Rigid Insulation And Vapor Barrier On Crushed Stone Base [4" SEALED REINFORCED CONCRETE SLAB PER STRUCT. OVER MIN. 2" THK. RIGID INSUL. &amp; STEGO WRAP 15-MIL VAPOR BARRIER ON CRUSHED STONE BASE PER STRUCT.]</t>
  </si>
  <si>
    <t>Source: 04/A0.24, 02/A1.10  |  Pricing section: Foundation  |  DRAWING TAKEOFF (E26040_Concrete-Takeoff_v2): Basement slab 4" 16.09 CY @ $690/CY = $11,102.74 [P7.1]</t>
  </si>
  <si>
    <t>Provide Smooth Troweled Finish At Basement Slab [CONC. SLAB W SMOOTH TROWELED FINISH IN PHASE 1.]</t>
  </si>
  <si>
    <t>Source: A1.40  |  Pricing section: Foundation  |  TAKEOFF: included in priced line 033000-2</t>
  </si>
  <si>
    <t>F/I Crushed Stone Cushion Below Slab [CRUSHED STONE CUSHION THICKNESS 6 INCHES]</t>
  </si>
  <si>
    <t>Source: GEO Table 4  |  Pricing section: Foundation  |  Matt rate $105/CY. 6-in crushed stone under basement 22.99 + garage 15.22 + terrace 29.92 CY + stair bases 2.05 CY (takeoff P7.3, P8.3, P9.3, P13.4, P14.4).</t>
  </si>
  <si>
    <t>F/I Recessed Threshold Formed Into Concrete Foundation Wall And Formed Concrete Ledge At Sliding Door #003 [FORMED CONC. LEDGE PER STRUCT. TO SUPPORT MASONRY SILL ABOVE]</t>
  </si>
  <si>
    <t>Source: 04/A0.24  |  Pricing section: Foundation  |  TAKEOFF: included in priced line 033000-0</t>
  </si>
  <si>
    <t>F/I Crushed Stone Footing [CRUSHED STONE FOOTING - DEPTH &amp; TYPE TBD BY GC PER LOCAL CODES]</t>
  </si>
  <si>
    <t>Source: 02/A1.10  |  Pricing section: Foundation  |  Matt rate $105/CY. Stone under basement footings, 3 ft wide x 6 in (takeoff P10.5). Depth 'TBD by GC per local codes': 6 in carried.</t>
  </si>
  <si>
    <t>F/I Concrete Pile Caps At Rear Deck [9'x9' PILE CAP W/ (4) PILES]</t>
  </si>
  <si>
    <t>Source: S-RL A1.10  |  Pricing section: Decks  |  DRAWING TAKEOFF (E26040_Concrete-Takeoff_v2): Pile caps 9'x9' (2) 18.90 CY @ $750/CY = $14,175.00 [P6.1]</t>
  </si>
  <si>
    <t>F/I Garage Foundation Walls, Frost Walls And Footings [PER STR. ENG. DWGS]</t>
  </si>
  <si>
    <t>Source: 02/A1.10, S-RL A1.10, 01/A3.00  |  Pricing section: Garage  |  DRAWING TAKEOFF (E26040_Concrete-Takeoff_v2): Garage frost walls 10" x 5'-10" 23.35 CY @ $600/CY = $14,008.27 [P3.2]; 77% of Garage + pier footings 24"x12" 9.55 CY @ $540/CY = $5,154.66 [P11.1]</t>
  </si>
  <si>
    <t>F/I Garage And Garage Storage Slab On Grade With Smooth Troweled Finish [CONC. SLAB W SMOOTH TROWELED FINISH]</t>
  </si>
  <si>
    <t>Source: A1.41, A2.10  |  Pricing section: Garage  |  DRAWING TAKEOFF (E26040_Concrete-Takeoff_v2): Garage slab 4" 10.66 CY @ $630/CY = $6,713.00 [P8.1]</t>
  </si>
  <si>
    <t>F/I Terrace Slab On Grade And Concrete Piers / Footings At Outdoor Living, Dining And Kitchen [SLAB ON GRADE]</t>
  </si>
  <si>
    <t>Source: S-RL A1.11, 01/A2.10, SUPP Sec. 5  |  Pricing section: Foundation  |  DRAWING TAKEOFF (E26040_Concrete-Takeoff_v2): Terrace slab 4" 20.95 CY @ $630/CY = $13,195.70 [P9.1]; Terrace pier walls (3 x 12') 5.58 CY @ $690/CY = $3,848.18 [P5.2]; 23% of Garage + pier footings 24"x12" 2.82 CY @ $540/CY = $1,521.66 [P11.1]; Isolated post footings (12) 1.87 CY @ $798/CY = $1,489.60 [P16.1]</t>
  </si>
  <si>
    <t>Set Anchor Bolts For 2X8 Double Sill Plates On Foundation Walls [ANCHOR BOLTS PER STR. ENG. DWGS]</t>
  </si>
  <si>
    <t>Source: A1.10 Gen. Note 01, 02/A1.10  |  Pricing section: Foundation  |  TAKEOFF: included in priced line 033000-0</t>
  </si>
  <si>
    <t>F/I Footings And Base Plate Anchorage For Structural Steel Posts [Not Specified]</t>
  </si>
  <si>
    <t>Source: S-RL A1.11, S-RL A1.12  |  Pricing section: Foundation  |  TAKEOFF: included in priced line 033000-10</t>
  </si>
  <si>
    <t>F/I Precast Concrete Sill Sloped To Drain On Mortar Bed With Weeps At Sliding Door #003 [PRECAST CONC. SILL, SLOPED TO DRAIN]</t>
  </si>
  <si>
    <t>Source: 02/A0.24, 04/A0.24  |  Pricing section: Foundation  |  Confirmed rate (Matt 2026-09-23): precast sill at sliding door #003, 15'-10" R.O., $95/LF furnished and set on mortar bed.</t>
  </si>
  <si>
    <t>F/I Structural Steel Beams At First Floor Deck And Module D [W10x26; W12x65; W16x89]</t>
  </si>
  <si>
    <t>Source: S-RL A1.11, SUPP Sec. 6.5  |  Pricing section: Decks  |  TAKEOFF: 4,927.04 LB -- F/I W16x89 Steel Beam = $14,781.12 (row 77); 2,240.42 LB -- F/I W10x26 Steel Beam = $6,721.26 (row 78); 1,964.95 LB -- F/I W12x65 Steel Beam = $5,894.85 (row 79); 3,079.96 LB -- F/I W10x26 Steel Beam = $9,239.88 (row 85); 339.68 LB -- F/I W10x22 Steel Beam = $1,019.04 (row 86)</t>
  </si>
  <si>
    <t>F/I Structural Steel Beams At Module Bearing Lines [W14X38; W14X68]</t>
  </si>
  <si>
    <t>Source: S-RL A1.11  |  Pricing section: House  |  TAKEOFF: 4,647.80 LB -- F/I W14x68 Steel Beam = $13,943.40 (row 75); 1,298.08 LB -- F/I W14x38 Steel Beam = $3,894.24 (row 76)</t>
  </si>
  <si>
    <t>F/I Structural Steel Beams At Second Floor Overhang / Module E And F Support [W10X26; W10X22; W16X67; W16X89]</t>
  </si>
  <si>
    <t>Source: S-RL A1.12  |  Pricing section: House  |  TAKEOFF: 12,066.03 LB -- F/I W16x67 Steel Beam = $36,198.09 (row 87)</t>
  </si>
  <si>
    <t>F/I Steel Tube Beams At Garage Roof Edge [HSS 9x5x1/4"]</t>
  </si>
  <si>
    <t>Source: S-RL A1.12  |  Pricing section: Garage  |  TAKEOFF: 518.13 LB -- F/I HSS 9x5x1/4" Steel Beam = $1,813.45 (row 89)</t>
  </si>
  <si>
    <t>Provide Moment Connections Where Indicated [MOMENT CONNECTION]</t>
  </si>
  <si>
    <t>Source: S-RL A1.11, S-RL A1.12, S-RL A1.13  |  Pricing section: House</t>
  </si>
  <si>
    <t>F/I P1 Structural Posts Supporting Second Floor Modules At Terrace [P1 - HSS 12x4x1/2"]</t>
  </si>
  <si>
    <t>Source: S-RL A1.11, A1.11 Keynote 1  |  Pricing section: House  |  TAKEOFF: 13,189.50 EA -- F/I HSS 12x4x1/2" = $46,163.25 (row 84)</t>
  </si>
  <si>
    <t>F/I P2 Structural Posts Supporting Deck / Overhang [P2 - (2) 2x6 STL. PLATE]</t>
  </si>
  <si>
    <t>Source: S-RL A1.11, A1.10 Keynote 4  |  Pricing section: Decks  |  TAKEOFF: 9,792.00 EA -- F/I (2) 2x6 Steel Plates = $30,355.20 (row 81)</t>
  </si>
  <si>
    <t>F/I P3 Posts At Front Stair Glazing [P3 - HSS 6x6x1/2"]</t>
  </si>
  <si>
    <t>Source: S-RL A1.11, S-RL A1.12  |  Pricing section: House  |  TAKEOFF: 3,524.00 EA -- F/I HSS 6x6x1/2" = $12,334.00 (row 83)</t>
  </si>
  <si>
    <t>F/I P4 Posts At Basement And Module Bearing Lines [P4 - HSS 5x5x1/4"]</t>
  </si>
  <si>
    <t>Source: S-RL A1.10, S-RL A1.11  |  Pricing section: House  |  TAKEOFF: 1,249.60 EA -- F/I HSS 5x5x1/4" = $4,373.60 (row 82)</t>
  </si>
  <si>
    <t>F/I P5 Posts At Garage And Garage Storage [P5 - HSS 5x5x1/2"]</t>
  </si>
  <si>
    <t>Source: S-RL A1.11, S-RL A1.12  |  Pricing section: Garage  |  TAKEOFF: 852.90 EA -- F/I HSS 5x5x1/2" = $2,985.15 (row 80)</t>
  </si>
  <si>
    <t>F/I Steel WF Columns On Pile Caps At Rear Deck [STEEL WF COLUMN]</t>
  </si>
  <si>
    <t>Source: S-RL A1.10, S-RL A1.11  |  Pricing section: Decks  |  TAKEOFF: 1,300.00 EA -- F/I W12X65 Column = $3,900.00 (row 88); 1,245.40 LB -- F/I W12x65 = $3,736.20 (row 67)</t>
  </si>
  <si>
    <t>F/I Structural Steel Slats / Columns At Terrace Painted Black To Match Infill Panels [SHOP-APPLIED EPOXY PRIMER &amp; ALIPHATIC POLYURETHANE TOP COAT, OR APPR'D EQ APPROPRIATE FOR HIGH-EXPOSURE ENVIRONMENT.]</t>
  </si>
  <si>
    <t>Source: A0.10  |  Pricing section: Hardscape</t>
  </si>
  <si>
    <t>F/I MTL-1 Black Steel Cladding At Center Stair Wall, All Sides [14 GA. HOT-ROLLED BLACK STEEL 5'X10' SHEETS]</t>
  </si>
  <si>
    <t>Source: A1.11, 01/A2.21, A0.10  |  Pricing section: House</t>
  </si>
  <si>
    <t>F/I MTL-1 Black Steel At Stair Floor And Slab Edges [14 GA. HOT-ROLLED BLACK STEEL]</t>
  </si>
  <si>
    <t>Source: 02/A2.20, 01/A2.21, A0.10  |  Pricing section: House</t>
  </si>
  <si>
    <t>F/I MTL-1 Black Steel Wall Cladding At Primary Bedroom 204 [14 GA. HOT-ROLLED BLACK STEEL]</t>
  </si>
  <si>
    <t>Source: 02/A4.03, 03/A4.03, 06/A4.03, A0.10  |  Pricing section: House</t>
  </si>
  <si>
    <t>Clean And Finish MTL-1 Black Steel With Hand-Rubbed Clear Stain And Varnish, Provide Sample For Architect Approval [CLEAN W/DEGREASER &amp; APPLY (2) COATS OLD VILLAGE 1400 CLEAR STAIN &amp; VARNISH (HAND-RUBBED W/CHEESECLOTH OR SIM.)]</t>
  </si>
  <si>
    <t>Source: A0.10  |  Pricing section: House</t>
  </si>
  <si>
    <t>F/I Custom Metal Handrail Brackets Powder-Coated White For Variable Depths At Window Posts And Wall [CUSTOM METAL BRACKETS POWDER-COATED WHITE]</t>
  </si>
  <si>
    <t>Source: 01/A2.20, SUPP Sec. 6.10  |  Pricing section: House</t>
  </si>
  <si>
    <t>F/I Removable Custom Steel Valance At Roller Shades With Recessed Magnets Epoxied Into Head Trim [1/8" THK. STEEL PLATE WELDED TO 1-1/2" X 1-1/2" X 1/8" STEEL ANGLE, POWDER COATED WHITE; 1/2" DIA. X 3/8" THK. NEODYMIUM RARE EARTH DISC MAGNET N42 (PART NO. D86) FROM KJMAGNETICS.COM]</t>
  </si>
  <si>
    <t>Source: 04/A0.23  |  Pricing section: Alternate #13</t>
  </si>
  <si>
    <t>F/I Exterior Glass Guardrails In Concealed Recessed Base Shoe At Decks And Terrace [11/16" LAMINATED, FULLY TEMPERED LOW-IRON GLASS W/ POLISHED FLAT EDGES &amp; FACTORY-APPLIED HYDROPHOBIC COATING IN RECESSED BASE SHOE]</t>
  </si>
  <si>
    <t>Source: A0.10, A1.10-A1.12 Keynote 3, SUPP Sec. 6.6  |  Pricing section: Decks</t>
  </si>
  <si>
    <t>F/I Glass Guardrails At Roof Deck And Roof Access Stair [11/16" LAMINATED, FULLY TEMPERED LOW-IRON GLASS W/ POLISHED FLAT EDGES &amp; FACTORY-APPLIED HYDROPHOBIC COATING IN RECESSED BASE SHOE]</t>
  </si>
  <si>
    <t>Source: A2.00 Gen. Note 06, SUPP Sec. 8.4, A0.10  |  Pricing section: House</t>
  </si>
  <si>
    <t>F/I Stainless Steel Tension Cable Rail System At Interior Stair Window Wall [ABS1SP-19-06 3/16" DIAMETER 316 SS 1X19 CABLE ASSEMBLY THREADED ADJUSTER X SWAGE TOGGLE EYEBOLT CONNECTION; COACH EYE - CS3182-555; CABLE SYSTEM ABS1 THREADED TERMINAL ADJUSTER]</t>
  </si>
  <si>
    <t>Source: 01/A2.20, 02/A2.20  |  Pricing section: House</t>
  </si>
  <si>
    <t>F/I Stainless Steel T-Bar At Stair Treads For Cable Rail Anchorage [3x3x0.25 SS STEEL T BAR]</t>
  </si>
  <si>
    <t>Provide Deduct Alternate: Replace Glass Guardrails Throughout With Horizontal Stainless-Steel Cable Railing With Minimal Posts And Top Rails [Not Specified]</t>
  </si>
  <si>
    <t>Source: SUPP Sec. 7.4  |  Pricing section: Alternate #4</t>
  </si>
  <si>
    <t>F/I 2X8 Double Sill Plates With Flashing And Sheathing At Sill Plate [2X8 DOUBLE SILL PLATE W/ ANCHOR BOLTS PER STR. ENG. DWGS - BY GC]</t>
  </si>
  <si>
    <t>Source: A1.10 Gen. Note 01, 02/A1.10, A0.10  |  Pricing section: Foundation</t>
  </si>
  <si>
    <t>F/I Framing At Site-Built Stair Volume, Floors And Roof [PER DWGS]</t>
  </si>
  <si>
    <t>Source: A0.10, A0.00  |  Pricing section: House</t>
  </si>
  <si>
    <t>F/I Framing, Sheathing And Structure At Overhangs And Waterproof Decks [OVERHANGS / WATERPROOF DECKS W/ ASSOCIATED FRAMING, STRUCTURE, ROOFING, AND FINISHES AS PER PLANS]</t>
  </si>
  <si>
    <t>Source: A0.10  |  Pricing section: Decks</t>
  </si>
  <si>
    <t>F/I First Floor Deck Framing And Joists [1 3/4"x9 1/4" LVL @ 16" O.C.; 2x10 LVL @ 16" O.C.]</t>
  </si>
  <si>
    <t>Source: S-RL A1.11  |  Pricing section: Decks  |  TAKEOFF: 1,303.72 SF -- F/I 2x10 Deck Framing 1st Floor = $32,593.00 (row 98)</t>
  </si>
  <si>
    <t>F/I Second Floor Deck Framing, Beams, Joists And Ledgers [(3) 1 3/4"x9 1/4" LVL; 2x10 @ 16" O.C.; LEDGER]</t>
  </si>
  <si>
    <t>Source: S-RL A1.12  |  Pricing section: Decks  |  TAKEOFF: 1,124.79 SF -- F/I 1-3/4"x9-1/4" LVL Deck Framing = $33,743.70 (row 90); 293.07 LF -- F/O (3) 1-3/4"x9-1/4" LVL = $10,257.45 (row 97)</t>
  </si>
  <si>
    <t>F/I Site-Built Roof Overhang And Roof Deck Perimeter Framing, Beams, Headers And Ledgers [(3) 1 3/4"x 11 7/8" LVL; (3) 1 3/4"x 9 1/4" LVL; 2x10 @ 16" O.C.; (2) 2x10 LEDGER]</t>
  </si>
  <si>
    <t>Source: S-RL A1.13, A1.12  |  Pricing section: House  |  TAKEOFF: 713.35 LF -- I-Joist (TJI) TJI 14" @ 16" OC = $4,626.07 (row 91); 19.02 LF -- Ridge Beam = $123.45 (row 92); 951.13 SF -- Zip 7/16" = $2,086.59 (row 93); 113.57 LF -- I-Joist (TJI) TJI 14" @ 16" OC = $736.50 (row 94); 3.03 LF -- Ridge Beam = $19.67 (row 95); 151.42 SF -- Zip 7/16" = $332.19 (row 96)</t>
  </si>
  <si>
    <t>Provide Deck And Terrace Slope Framing [ALL DECK SLOPE BY GC TYP.]</t>
  </si>
  <si>
    <t>Source: A1.11, A1.12 Plan Notes  |  Pricing section: Decks</t>
  </si>
  <si>
    <t>F/I Covered Deck And Ramp At Outdoor Living [DECK &amp; RAMP BY G.C.]</t>
  </si>
  <si>
    <t>Source: 02/A2.00  |  Pricing section: Decks</t>
  </si>
  <si>
    <t>F/I Roof Overhang Framing At Garage Door And Outdoor Living [ROOF OVERHANG, BY G.C.]</t>
  </si>
  <si>
    <t>Source: 02/A2.01, 02/A2.00  |  Pricing section: Garage</t>
  </si>
  <si>
    <t>F/I Garage Exterior Wall Framing And Sheathing [1/2" ZIP SHEATHING OVER 2X6 FRAMING BY GC, TYP.]</t>
  </si>
  <si>
    <t>Source: 01/A3.00, A0.10  |  Pricing section: Garage  |  TAKEOFF: 17.00 EA -- 2x6x9' Studs = $295.73 (row 99); 33.00 LF -- 2x6 Top Plates = $64.09 (row 100); 16.50 LF -- 2x6 Bottom Plates = $32.05 (row 101); 4.00 EA -- 5/8" CDX Plywood Sheathing (4x10) = $211.97 (row 102); 148.50 SF -- Tyvek HomeWrap = $84.79 (row 125)</t>
  </si>
  <si>
    <t>F/I Garage Roof Framing, Beams And Ledger [14" TJI 360 @ 16" O.C.; (3) 1 3/4"X9 1/2" LVL]</t>
  </si>
  <si>
    <t>Source: 01/A3.00, S-RL A1.12  |  Pricing section: Garage  |  TAKEOFF: 781.46 LF -- 2x10 @ 16" OC = $3,854.94 (row 103); 20.84 LF -- Ridge Board / Beam = $135.26 (row 104); 1,041.95 SF -- 7/16" OSB = $2,285.83 (row 105); 88.76 LF -- 2x10 @ 16" OC = $437.85 (row 106); 2.37 LF -- Ridge Board / Beam = $15.38 (row 107); 44.38 LF -- Every Other = $141.99 (row 108); 118.35 SF -- 7/16" OSB = $259.64 (row 109)</t>
  </si>
  <si>
    <t>I/O Factory-Panelized Parapet Walls / Curbs Shipped Loose And Provide Connections With Ply Panel [2X6 FRAMING, 1/2" EXT GRADE PLY. SHEATHING INSIDE AND OUTSIDE (PANELIZED &amp; SHIPPED LOOSE BY FACTORY, ON-SITE INSTALLATION &amp; CONNECTIONS BY GC)]</t>
  </si>
  <si>
    <t>Source: A0.10, A1.10-A1.13 Keynote 7, 02/A3.00, A5.01 Gen. Note 01  |  Pricing section: House</t>
  </si>
  <si>
    <t>F/I Roof Parapets Not Over Modules [Not Specified]</t>
  </si>
  <si>
    <t>Source: A2.00 Keynote 11  |  Pricing section: House</t>
  </si>
  <si>
    <t>F/I Wood Framing For Hung Ceilings And Exterior Sheathing At Stucco Ceilings [Not Specified]</t>
  </si>
  <si>
    <t>Source: A2.00 Keynote 9  |  Pricing section: House</t>
  </si>
  <si>
    <t>F/I 5/8" Plywood Roof Sheathing At Site-Built Roofs [EXTERIOR SHEATHING: 5/8" PLYWOOD]</t>
  </si>
  <si>
    <t>F/I ZIP System Wall Sheathing And Tape At Site-Built Exterior Walls [1/2" ZIP SYSTEM WALL &amp; TAPE]</t>
  </si>
  <si>
    <t>Source: A0.10, A2.10  |  Pricing section: House</t>
  </si>
  <si>
    <t>F/I Interior Partition Framing Outside Modules [2X4 WOOD STUDS @ 16" O.C., U.O.N.]</t>
  </si>
  <si>
    <t>Source: A0.10  |  Pricing section: House  |  TAKEOFF: 13.00 EA -- 2x4x9' Studs = $158.11 (row 114); 24.26 LF -- 2x4 Top Plates = $47.12 (row 115); 12.13 LF -- 2x4 Bottom Plates = $23.56 (row 116)</t>
  </si>
  <si>
    <t>F/I 2X Stud Framing At Basement Walls To Receive Wall-Mounted Equipment [WALLS TO RECEIVE WALL-MTD EQUIP TO BE FRAMED OUT W/ 2X STUDS AS INDICATED IN PHASE I.]</t>
  </si>
  <si>
    <t>Source: A1.10  |  Pricing section: House</t>
  </si>
  <si>
    <t>F/I Temporary Basement Walls [TEMPORARY WALLS &amp; DOOR IN PHASE 1 (AS HATCHED) - CONFIGURATION TBC]</t>
  </si>
  <si>
    <t>Source: A1.10, SUPP Sec. 2  |  Pricing section: House</t>
  </si>
  <si>
    <t>F/I Pressure Treated Wood Bucks And Plywood Pad-Out At Basement Openings #001, #002, #003 [2X6 P.T. WOOD BUCK, TYP.]</t>
  </si>
  <si>
    <t>Source: 01/A0.24, 02/A0.24, 03/A0.24  |  Pricing section: House</t>
  </si>
  <si>
    <t>F/I Blocking / Framing At Window Heads For Anchoring Tension Cable Rail [BLOCKING / FRAMING AS REQ'D. AT WINDOW HEAD FOR ANCHORING TENSION CABLE RAIL]</t>
  </si>
  <si>
    <t>Source: 01/A2.20  |  Pricing section: House</t>
  </si>
  <si>
    <t>F/I Blocking For 1-3/4" Trim Projection Where Window Trim Is Grouped With Adjacent Door Unit [Not Specified]</t>
  </si>
  <si>
    <t>Source: 03/A0.21  |  Pricing section: House</t>
  </si>
  <si>
    <t>F/I Blocking For Wall-Mounted TV Locations Outside Modules [Not Specified]</t>
  </si>
  <si>
    <t>Source: A1.30 Elec. Note 09  |  Pricing section: House</t>
  </si>
  <si>
    <t>F/I FL-2 Ipe Decking At First And Second Floor Decks With Concealed Fasteners [IPE, PRE-GROOVED 5/4 X 6 W/ CONCEALED FASTENERS (TIGERCLAW OR SIM.)]</t>
  </si>
  <si>
    <t>Source: A0.10 Finish Sch., A1.41, A1.42  |  Pricing section: Decks  |  TAKEOFF: 927.93 SF -- F/I Decking First Floor [IPE, Pre-Grooved] = $37,117.20 (row 110); 1,477.73 SF -- F/I Decking Second Floor [IPE, Pre-Grooved] = $59,109.20 (row 111)</t>
  </si>
  <si>
    <t>F/I Deck Pedestals / Sleepers Over EPDM At Decks Over Roofing [Not Specified]</t>
  </si>
  <si>
    <t>Source: 10/A5.00  |  Pricing section: Decks</t>
  </si>
  <si>
    <t>Provide Samples Of Decking For Owner / Architect Approval [Not Specified]</t>
  </si>
  <si>
    <t>Source: A0.10 Finish Sch.  |  Pricing section: Decks</t>
  </si>
  <si>
    <t>F/I Ipe Cladding At Roof Access Stair [FINISHED IPE-CLAD STAIR]</t>
  </si>
  <si>
    <t>Source: SUPP Sec. 8.4  |  Pricing section: House</t>
  </si>
  <si>
    <t>F/I Ipe Decking On Sleepers Over EPDM Roof At Upper Roof Deck [Not Specified]</t>
  </si>
  <si>
    <t>Source: SUPP Sec. 7.5, 09/A5.00  |  Pricing section: Alternate #5</t>
  </si>
  <si>
    <t>F/I S-2 Light Cedar Ceilings Over Factory OSB At Living / Dining, Kitchen Cove And Primary Bedroom [WESTERN RED CEDAR, GRADE A CLEAR OR BETTER 1X6 T&amp;G]</t>
  </si>
  <si>
    <t>Source: A1.21, A1.22, A0.10  |  Pricing section: House</t>
  </si>
  <si>
    <t>F/I Interior Window Trim At All Windows Except Bathroom Corian Trim [KILN-DRIED AND PLANED POPLAR]</t>
  </si>
  <si>
    <t>Source: A0.20 Gen. Note 12  |  Pricing section: House</t>
  </si>
  <si>
    <t>F/I Knife Edge Casing Detail At Exterior Doors And Windows [Not Specified]</t>
  </si>
  <si>
    <t>Source: SBS 8-14, 03/A0.21  |  Pricing section: House</t>
  </si>
  <si>
    <t>I/O Factory-Supplied Base Molding In Modules (Tacked By Factory) And F/I Base Molding Outside Modules [3 1/2" X 1/2" SQUARE WOOD TRIM, FACTORY PRIMED, MITERED CORNERS]</t>
  </si>
  <si>
    <t>Fill And Sand Joints At Factory-Installed Door Trim Prior To Painting And F/I All Trim Outside Modules [Not Specified]</t>
  </si>
  <si>
    <t>Complete Door Trim At Mate Lines And Guest Bed 104 Side Left Off By Factory [Not Specified]</t>
  </si>
  <si>
    <t>Source: A0.30 Door 104A, 105A  |  Pricing section: House</t>
  </si>
  <si>
    <t>F/I Cedar Top Rail On Cedar Posts At Parapet Railing [2X12 CEDAR TOP RAIL ATTACHED TO CEDAR POSTS WITH (2) #12 X 6" S.S. SCREWS @ EACH POST]</t>
  </si>
  <si>
    <t>Source: 09/A5.00  |  Pricing section: House</t>
  </si>
  <si>
    <t>F/I Cedar Slat Screens / Slat Wall At Decks Stained To Match Siding [CEDAR SLAT WALL PER CONSTR. PLAN STAINED TO MATCH SIDING - BY GC.]</t>
  </si>
  <si>
    <t>Source: A0.10, A2.00 Keynote 5  |  Pricing section: Decks</t>
  </si>
  <si>
    <t>F/I Built-In Planter Assemblies At Decks And Roof Deck [Not Specified]</t>
  </si>
  <si>
    <t>Source: A0.10, A1.13, SUPP Sec. 5  |  Pricing section: Decks</t>
  </si>
  <si>
    <t>Provide Cedar Brise Soleil Stained To Match House [CEDAR TO BE STAINED TO MATCH HOUSE - REF. FINISH SCHEDULE.]</t>
  </si>
  <si>
    <t>Source: A5.00 Brise Soleil Notes  |  Pricing section: House</t>
  </si>
  <si>
    <t>F/I Site-Built Interior Stair, Basement To Second Floor, Open Treads On Steel Stringer At Upper Flight [Not Specified]</t>
  </si>
  <si>
    <t>Source: A0.00, A0.10, 01/A2.20  |  Pricing section: House</t>
  </si>
  <si>
    <t>F/I Butcher Block Stair Treads [BUTCHER BLOCK STAIR TREADS - REF. GENERAL NOTES.]</t>
  </si>
  <si>
    <t>F/I 1 1/2" Round White Oak Handrails Stained To Match Stairs On Custom Brackets [1 1/2" ROUND WHITE OAK HANDRAILS STAINED TO MATCH STAIRS]</t>
  </si>
  <si>
    <t>I/O Factory-Supplied Pressure Treated Roof Access Stair And F/I Stair Handrail [Not Specified]</t>
  </si>
  <si>
    <t>Source: SBS 5-4, SUPP Sec. 8.4  |  Pricing section: House</t>
  </si>
  <si>
    <t>Assemble And I/O Factory-Supplied WD-1 White Oak Foyer Millwork Sleeve Shipped Loose In Pieces [1 1/2" THK MILLWORK SLEEVE W/ 3/4" REVEAL ALL (4) SIDES]</t>
  </si>
  <si>
    <t>Source: 02/A4.00  |  Pricing section: House</t>
  </si>
  <si>
    <t>I/O Factory-Supplied Integrated Appliance Millwork Panels [TO MATCH ADJACENT CABINETRY]</t>
  </si>
  <si>
    <t>Source: A0.11 Gen. Note 03  |  Pricing section: House</t>
  </si>
  <si>
    <t>F/I WD-1 White Oak Millwork Outside Modules Matching Kountry Kraft Finish [WHITE OAK, NATURAL WHITE GLAZE 25%]</t>
  </si>
  <si>
    <t>Source: A0.10 Finish Sch., A4.00 Gen. Note 12  |  Pricing section: House</t>
  </si>
  <si>
    <t>F/I Built-In Storage Cabinets At Garage Storage 112 [Not Specified]</t>
  </si>
  <si>
    <t>Source: A1.11  |  Pricing section: Garage</t>
  </si>
  <si>
    <t>F/I Outdoor Kitchen Base Cabinet / Enclosure For Scheduled Appliances [Not Specified]</t>
  </si>
  <si>
    <t>Source: SUPP Sec. 6.13, A1.11  |  Pricing section: House</t>
  </si>
  <si>
    <t>F/I WD-2 Closet Interiors At Mudroom, Guest Bedrooms 1, 2, 3, Laundry And Primary Dressing Including Field Measuring, Ordering And Delivery [CLOSETS BY GC ON SITE: WHITE MELAMINE OR APPR'D SIM. W/ SATIN NICKEL RODS BY CLOSET FACTORY OR APPR'D EQ.]</t>
  </si>
  <si>
    <t>Source: A0.10, A4.00-A4.05, SUPP Sec. 6.9  |  Pricing section: House</t>
  </si>
  <si>
    <t>Provide Guest Bed 2 And Guest Bed 3 Closet Cabinet Grouping Twice [PRICING SHOULD REFLECT THIS CABINET GROUPING TWICE (2X).]</t>
  </si>
  <si>
    <t>Source: 02/A4.05  |  Pricing section: House</t>
  </si>
  <si>
    <t>F/I Vanity Bar Pulls At Powder Room And Guest Baths [TOP KNOBS 18" SQ. BAR PULLS SATIN NICKEL, BY GC]</t>
  </si>
  <si>
    <t>Source: 02/A4.01, 07/A4.01, 08/A4.05, 12/A4.05  |  Pricing section: House</t>
  </si>
  <si>
    <t>F/I Second Additional 21" Pull Handle On Trash Pull Out To Match [21" SUBZERO TUBULAR HANDLES 7025231]</t>
  </si>
  <si>
    <t>Source: A0.11 03 (DW Remark)  |  Pricing section: House</t>
  </si>
  <si>
    <t>Provide Coordination Of Closet Factory Shop Drawings [Not Specified]</t>
  </si>
  <si>
    <t>Source: A0.10 Finish Sch.  |  Pricing section: House</t>
  </si>
  <si>
    <t>F/I Dampproofing On Outside Face Of Below-Grade Foundation Walls [DAMP-PROOFING ON CONC. FOUNDATION WALL AS REQ'D]</t>
  </si>
  <si>
    <t>Source: GEO p.11, 01/A0.24  |  Pricing section: Foundation  |  Matt rate $2.50/SF. Full height of basement walls (takeoff X.1): upper bound, walkout faces partly exposed.</t>
  </si>
  <si>
    <t>F/I Waterproofing Membrane And Drainage Mat At Foundation Walls As Required [WATERPROOFING MEMBRANE &amp; DRAINAGE MAT AS REQ'D.]</t>
  </si>
  <si>
    <t>EXCL</t>
  </si>
  <si>
    <t>Source: 02/A1.10, 02/A3.00  |  Pricing section: Foundation</t>
  </si>
  <si>
    <t>F/I Perforated PVC Foundation Drain In Crushed Stone Wrapped In Geotextile, Discharge To Daylight Or Storm System [MINIMUM 4-INCH DIAMETER RIGID WALL PERFORATED PVC PIPE SURROUNDED BY AT LEAST 12 INCHES OF 3/4-INCH CLEAN CRUSHED STONE WRAPPED IN GEOTEXTILE (MIRAFI 140N OR EQUIVALENT)]</t>
  </si>
  <si>
    <t>Source: 02/A1.10, GEO p.11  |  Pricing section: Foundation  |  Matt rate $18/LF. Basement outside-face perimeter from dim strings (takeoff X.2).</t>
  </si>
  <si>
    <t>F/I Continuous Exterior Insulation At Walls [ROCKWOOL 1.25 COMFORTBOARD. (CONTINUOUS R-5.25).]</t>
  </si>
  <si>
    <t>F/I Cavity Insulation At All Exterior Walls Outside Modules [HIGH-DENSITY FIBERGLASS BATT INSUL (CAVITY R-21)]</t>
  </si>
  <si>
    <t>F/I Insulation At First Floor Modules Over Basement [R-30 FIBERGLASS W/ VAPOR BARRIER, TYP.]</t>
  </si>
  <si>
    <t>Source: A0.10, 02/A1.10  |  Pricing section: House</t>
  </si>
  <si>
    <t>F/I Closed-Cell Spray Foam Insulation Where Floor Underside Exposed [12" CLOSED-CELL SPRAY FOAM INSULATION (R-84 TOTAL)]</t>
  </si>
  <si>
    <t>F/I Spray Foam Insulation At Gaps At Exterior Walls, Windows And Between Modules After Set [Not Specified]</t>
  </si>
  <si>
    <t>Source: A1.11 Gen. Note 07, SUPP Sec. 4  |  Pricing section: House</t>
  </si>
  <si>
    <t>F/I Sound Attenuation Insulation At Partitions Outside Modules [R-13 SOUND ATTENUATION]</t>
  </si>
  <si>
    <t>F/I Framing, Sheathing And Insulation At Stair Volume Roof [FLASH &amp; BATT: 2" FOMO SPRAY FOAM INSUL. + R-21 FIBERGLASS BATT INSUL. (R-49 TOTAL MINIMUM- INCLUDES CONT. TAPERED RIGID INSULATION.)]</t>
  </si>
  <si>
    <t>F/I Flash And Batt Insulation In Garage Roof Cavity [FLASH &amp; BATT INSULATION IN ROOF CAVITY AS SPEC'D]</t>
  </si>
  <si>
    <t>Source: 01/A3.00  |  Pricing section: Garage</t>
  </si>
  <si>
    <t>F/I Closed-Cell Spray Foam Insulation At North First Floor Deck Over Basement [CLOSED-CELL SPRAY FOAM INSULATION UP TO R-70, PENDING RESCHECK/ENERGY CALCULATIONS]</t>
  </si>
  <si>
    <t>Source: SUPP Sec. 6.12  |  Pricing section: Decks</t>
  </si>
  <si>
    <t>F/I Rigid Insulation Under Basement Slab [2" THK RIGID INSUL. (R-10)]</t>
  </si>
  <si>
    <t>Source: 02/A1.10  |  Pricing section: Foundation  |  Matt rate $3.50/SF. 2-in rigid R-10 under basement slab = basement slab area 1,241.3 SF (takeoff P7.6). Carried in SITEWORK per Matt.</t>
  </si>
  <si>
    <t>F/I S-3 EIFS At Exposed Concrete Foundation Walls [1/4" THICK BASE + FINISH COATS W/ EMBEDDED FIBERGLASS REINFORCING MESH OVER 3" THK. CONT. INSUL. &amp; 1/4" DRAINAGE PLANE BEHIND]</t>
  </si>
  <si>
    <t>Source: A0.10 Finish Sch. S-3, 02/A1.10, 02/A3.00, A0.24  |  Pricing section: Foundation</t>
  </si>
  <si>
    <t>F/I S-5 Exterior Stucco Ceilings At Terrace, Deck And Soffit Undersides [7/8" THICK PAREX 3-COAT STUCCO ASSEMBLY W/ ELASTOMERIC FINISH; FINISH COLOR: "SNOWBALL" 10400L (75); FINISH TEXTURE: "SAND FINE"]</t>
  </si>
  <si>
    <t>Source: A0.10 Finish Sch. S-5, A2.00 Keynote 9, A1.20-A1.22  |  Pricing section: House  |  TAKEOFF: 4,175.27 SF -- F/I Ceiling Stucco S-5 [7/8" THICK PAREX 3-COAT STUCCO- ELASTOMERIC FINISH-  "SNOWBALL" 10400L - FINISH TEXTURE: "SAND FINE"] = $75,154.86 (row 74)</t>
  </si>
  <si>
    <t>Provide Samples Of Stucco Finish For Architect Approval [Not Specified]</t>
  </si>
  <si>
    <t>Parge All Exposed Concrete Foundation Walls [1/4" PARGE OVER CONCRETE FOUNDATION WALL]</t>
  </si>
  <si>
    <t>Source: A2.00 Gen. Note 05, 01/A3.00  |  Pricing section: Garage</t>
  </si>
  <si>
    <t>Complete Exterior Air / Water Barrier At Module Joints [Not Specified]</t>
  </si>
  <si>
    <t>Source: SUPP Sec. 4  |  Pricing section: House</t>
  </si>
  <si>
    <t>F/I Rain Slicker Behind Infill Panels [BENJAMIN OBDYKE RAINSLICKER (OR APPR'D EQ)]</t>
  </si>
  <si>
    <t>Source: A0.10, 01/A0.21  |  Pricing section: House  |  TAKEOFF: 512.02 SF -- F/I Rain Slicker = $3,072.12 (row 137)</t>
  </si>
  <si>
    <t>F/I Self-Adhesive Waterproofing Membrane Wrapping Parapet Rail, Lapped Over EPDM [BLUESKIN SELF-ADHESIVE WP MEMBRANE (OR APPR'D EQ.)]</t>
  </si>
  <si>
    <t>F/I S-1 Black Cedar Siding Installed Horizontally On P.T. Furring Over Continuous Insulation [WESTERN RED CEDAR, GRADE A CLEAR OR BETTER 1X6 T&amp;G]</t>
  </si>
  <si>
    <t>Source: A0.10, A2.00, A2.01  |  Pricing section: House  |  TAKEOFF: 4,304.92 SF -- F/I Horizontal Siding- Black Cedar[ WESTERN RED CEDAR, GRADE A CLEAR OR BETTER] = $116,232.84 (row 134)</t>
  </si>
  <si>
    <t>F/I S-1 Black Cedar Siding At Garage [WESTERN RED CEDAR, GRADE A CLEAR OR BETTER 1X6 T&amp;G]</t>
  </si>
  <si>
    <t>Source: A2.00, A2.01, A0.10  |  Pricing section: Garage  |  TAKEOFF: included in priced line 074600-0</t>
  </si>
  <si>
    <t>F/I Rainscreen Siding Vent / Insect Screen At Top And Bottom Of Siding [COR-A-VENT SV-5 RAINSCREEN SIDING VENT / INSECT SCREEN]</t>
  </si>
  <si>
    <t>Source: 01/A0.21  |  Pricing section: House  |  TAKEOFF: 4,408.21 SF -- F/I Rain Screen = $26,449.26 (row 136)</t>
  </si>
  <si>
    <t>F/I S-4 Window Infill Panels Over ZIP Sheathing With Stainless Steel Fasteners And Trim Rings [5/8" MEDIUM DENSITY OVERLAY (MDO) PTD. BLACK]</t>
  </si>
  <si>
    <t>Source: A0.10 Finish Sch. S-4, A5.01  |  Pricing section: House  |  TAKEOFF: 522.39 SF -- F/I Infill Panel = $12,537.36 (row 138)</t>
  </si>
  <si>
    <t>F/I 2X Cedar Exterior Window Trim, Mitered Corners, Beveled Sills With Drip Groove [2X4 CEDAR TRIM W/ BEVELED TOP TO SHED WATER &amp; DRIP GROOVE BELOW]</t>
  </si>
  <si>
    <t>Source: A0.10, A0.20 Gen. Note 13, A0.21  |  Pricing section: House  |  TAKEOFF: 1,489.14 LF -- F/I Exterior Trim [2x4 Cedar Trim] = $26,804.52 (row 135)</t>
  </si>
  <si>
    <t>F/I 2X6 Cedar Exterior Trim At Basement Openings #001, #002, #003 [2X6 CEDAR TRIM]</t>
  </si>
  <si>
    <t>Source: A0.24  |  Pricing section: House</t>
  </si>
  <si>
    <t>F/I P.T. Furring At Outside Corners And Metal Corner Keys At Mitered Siding [FRY REGLET CORNER KEY PCM-75-75-150 (BLACK)]</t>
  </si>
  <si>
    <t>Source: 09/A0.22, 03/A0.23  |  Pricing section: House</t>
  </si>
  <si>
    <t>F/I Temporary MDO Board Painted To Match Siding At Interior Face Of Roof Deck Parapets [3/4" THK. MDO BOARD PTD TO MATCH SIDING. OVER SPEC'D RAINSLICKER/ CEDAR BREATHER.]</t>
  </si>
  <si>
    <t>Source: 09/A5.00, SUPP Sec. 7.5  |  Pricing section: House</t>
  </si>
  <si>
    <t>F/I Black-Stained Cedar At Interior Parapet Faces Of Upper Roof Deck [Not Specified]</t>
  </si>
  <si>
    <t>Source: SUPP Sec. 7.5  |  Pricing section: Alternate #5</t>
  </si>
  <si>
    <t>F/I Add Alternate Green Roof At Roof, Roof Deck And Garage Per Plan, Priced Separately Per Area [LIVEROOF 'STANDARD' PREVEGETATED TRAYS (SOIL DEPTH +- 4 1/4", APPROX. 29 PSF SATURATED)]</t>
  </si>
  <si>
    <t>Source: A0.10, SUPP Sec. 7.6, A1.43  |  Pricing section: Alternate #6</t>
  </si>
  <si>
    <t>F/I Green Roof Trays At Second Floor Deck [SPEC'D MODULAR GREEN ROOF TRAYS]</t>
  </si>
  <si>
    <t>Source: A1.12, A1.42  |  Pricing section: Alternate #6</t>
  </si>
  <si>
    <t>F/I Add Alternate Irrigation For Green Roofs [Not Specified]</t>
  </si>
  <si>
    <t>Source: A0.10, SUPP Sec. 7.6  |  Pricing section: Alternate #6</t>
  </si>
  <si>
    <t>F/I Aluminum Edging At Deck / Green Roof Transition [ALUM. EDGING AT DECK TRANSITION PENDING LANDSCAPE ARCHITECT SPECIFICATIONS FOR GREEN ROOF.]</t>
  </si>
  <si>
    <t>Source: 10/A5.00  |  Pricing section: Alternate #6</t>
  </si>
  <si>
    <t>Complete Factory-Installed EPDM Roofing At Mate Lines And Parapets [CARLISLE SYNTEC SURE-SEAL FULLY ADHERED 60 MIL. REINFORCED EPDM ROOFING SYSTEM OR APPROVED EQ.]</t>
  </si>
  <si>
    <t>Source: A0.10, 02/A3.00, SBS 4-10  |  Pricing section: House</t>
  </si>
  <si>
    <t>F/I All Roofing Outside Modules Including Stair Volume And Site-Built Overhangs [CARLISLE SYNTEC SURE-SEAL FULLY ADHERED 60 MIL. REINFORCED EPDM ROOFING SYSTEM OR APPROVED EQ.]</t>
  </si>
  <si>
    <t>Source: A2.00 Keynote 10, A0.10  |  Pricing section: House  |  TAKEOFF: 951.13 SF -- TPO = $10,795.72 (row 117); 951.13 SF -- Synthetic = $822.73 (row 118); 38.05 LF -- Step / Base Flashing = $268.75 (row 119); 19.02 LF -- Ridge / Valley Flashing = $131.10 (row 120); 151.42 SF -- TPO = $1,718.68 (row 121); 151.42 SF -- Synthetic = $130.98 (row 122); 6.06 LF -- Step / Base Flashing = $42.80 (row 123); 3.03 LF -- Ridge / Valley Flashing = $20.89 (row 124)</t>
  </si>
  <si>
    <t>F/I EPDM Roofing At Garage Roof [SPEC'D. EPDM ROOFING INSTALLED AND FINISHED ON SITE AT MATE LINES AND PARAPETS]</t>
  </si>
  <si>
    <t>Source: 01/A3.00  |  Pricing section: Garage  |  TAKEOFF: 1,041.95 SF -- TPO = $11,826.57 (row 126); 1,041.95 SF -- Synthetic = $901.29 (row 127); 41.68 LF -- Step / Base Flashing = $294.39 (row 128); 20.84 LF -- Ridge / Valley Flashing = $143.65 (row 129); 118.35 SF -- TPO = $1,343.32 (row 130); 118.35 SF -- Synthetic = $102.37 (row 131); 4.73 LF -- Step / Base Flashing = $33.41 (row 132); 2.37 LF -- Ridge / Valley Flashing = $16.34 (row 133)</t>
  </si>
  <si>
    <t>F/I Tapered Rigid Insulation At Roofs Outside Modules [RIGID HIGH LOAD EXTRUDED POLYSTYRENE INSULATION BY STYROFOAM OR APPROVED EQ.; TAPERED TO DRAIN FOR 1/4" PER FOOT SLOPE MIN.]</t>
  </si>
  <si>
    <t>Source: A0.10, 10/A5.00  |  Pricing section: House</t>
  </si>
  <si>
    <t>F/I EPDM Waterproofing At Second Floor Deck And Waterproof Decks Over Occupied Space [60 MIL REINFORCED EPDM MEMBRANE FULLY ADHERED TO RIGID INSULATION]</t>
  </si>
  <si>
    <t>Source: A0.10, 10/A5.00  |  Pricing section: Decks</t>
  </si>
  <si>
    <t>F/I Roofing At Portion Of North First Floor Deck Over Basement [Not Specified]</t>
  </si>
  <si>
    <t>Provide EPDM Parapet Wrap, Splices, Pressure-Sensitive Flashings And Carlisle Accessories [SURE-SEAL BONDING ADHESIVE; SURE-SEAL WATER CUT-OFF MASTIC; SURE-SEAL 3" WIDE SecurTAPE; SURE-SEAL P.S. T-JOINT COVER]</t>
  </si>
  <si>
    <t>Source: 05/A5.00, 01-03/A5.00  |  Pricing section: House</t>
  </si>
  <si>
    <t>I/O Factory-Supplied Roof Cavity Breather Vents [MARATHON M-105 2-WAY BREATHER VENT]</t>
  </si>
  <si>
    <t>Source: SBS 4-14  |  Pricing section: House</t>
  </si>
  <si>
    <t>Remove Factory Roof Drain Plugs After Set [OATEY #78033 3" PVC ROOF DRAINS W/ ABS DOME &amp; DOME COLLAR. (GC TO REMOVE PLUGS AFTER SET.)]</t>
  </si>
  <si>
    <t>Source: A0.10 Plumbing  |  Pricing section: House</t>
  </si>
  <si>
    <t>F/I Window And Door Flashing [ALUMINUM MILL FINISH, 0.024" THICK MIN, COLOR TO MATCH WINDOWS]</t>
  </si>
  <si>
    <t>F/I All Visible Flashing [LEAD-COATED COPPER, 24 GAUGE THICK MIN.]</t>
  </si>
  <si>
    <t>F/I Lead-Coated Copper Sill Pans Under Doors With Soldered Back And End Dams [LEAD-COATED COPPER SILL PAN UNDER DOOR W/ FORMED BACK DAM &amp; END DAMS (SOLDERED AT CORNERS)]</t>
  </si>
  <si>
    <t>Source: 04/A0.21, 05/A0.21, 04/A0.24  |  Pricing section: House</t>
  </si>
  <si>
    <t>F/I Metal Coping At Parapets On Continuous Galvanized Cleat [METAL COPING FLASHING; 3" MIN. OVERLAP W/SEALING TAPE @ EA. JOINT]</t>
  </si>
  <si>
    <t>Source: 05/A5.00, 09/A5.00, SBS 4-11  |  Pricing section: House</t>
  </si>
  <si>
    <t>F/I Overflow Scuppers, Custom Depth, With Roof-Side Flanges [OVERFLOW-MAJESTIC WATER SPOUTS EATON 2"X8" RECTANGULAR SCUPPER CUSTOM DEPTH (+/-11" V.I.F. BASED ON FINAL ASSEMBLY) - STAINLESS STEEL (OR APPR'D EQ)]</t>
  </si>
  <si>
    <t>Source: A0.10, 05/A5.00  |  Pricing section: House</t>
  </si>
  <si>
    <t>F/I Metal Drip Edge Flashing Above All Horizontal Cedar Trim [Not Specified]</t>
  </si>
  <si>
    <t>Source: A2.00 Gen. Note 03  |  Pricing section: House</t>
  </si>
  <si>
    <t>F/I Metal Flashing And Drip Edge At Base Of Siding [METAL FLASHING AND DRIP EDGE - PAINT TO MATCH SIDING]</t>
  </si>
  <si>
    <t>Source: 02/A3.00  |  Pricing section: House</t>
  </si>
  <si>
    <t>F/I Metal Head And Sill Flashing At Basement Openings [METAL FLASHING W/ DRIP EDGE, REAR LEG SEALED TO CONC.]</t>
  </si>
  <si>
    <t>Source: 03/A0.24, 04/A0.24  |  Pricing section: House</t>
  </si>
  <si>
    <t>F/O Basement Door 000A [SOLID CORE FLUSH PANEL, PAINT GRADE 3'-0'' X 7'-8 1/2'' 1 3/4'']</t>
  </si>
  <si>
    <t>Source: A0.30 Door 000A  |  Pricing section: House  |  TAKEOFF: 1.00 EA -- F/O Door 000A [  3'-0'' X 7'-9'', SOLID CORE FLUSH PANEL, PAINT GRADE] = $600.00 (row 35)</t>
  </si>
  <si>
    <t>F/O Garage Storage Door 112A [SOLID CORE FLUSH PANEL, PAINT GRADE 3'-0'' X 7'-8 1/2'' 1 3/4'']</t>
  </si>
  <si>
    <t>Source: A0.30 Door 112A  |  Pricing section: Garage  |  TAKEOFF: 1.00 EA -- F/O Door 112A [ 3'-0'' X 7'-9'',SOLID CORE FLUSH PANEL, PAINT GRADE] = $600.00 (row 37)</t>
  </si>
  <si>
    <t>F/O Passage Levers And Hinges At Doors 000A And 112A [OMNIA LEVER 912MD W/ MODERN ROUND ROSE (US15 SATIN NICKEL), PASSAGE; H.D. REMOVABLE PIN HINGE, SQUARE, SATIN S.S.]</t>
  </si>
  <si>
    <t>Source: A0.30 Doors 000A, 112A  |  Pricing section: House  |  TAKEOFF: 1.00 EA -- F/O Hardware 000A [ H.D. REMOVABLE PIN HINGE, SQUARE, SATIN S.S.,  OMNIA LEVER 912MD W/ MODERN ROUND ROSE  (US15 SATIN NICKEL), PASSAGE] = $400.00 (row 39); 1.00 EA -- F/O Hardware 112A [ H.D. REMOVABLE PIN HINGE, SQUARE, SATIN S.S.,  OMNIA LEVER 912MD W/ MODERN ROUND ROSE  (US15 SATIN NICKEL), PASSAGE] = $400.00 (row 41)</t>
  </si>
  <si>
    <t>F/O All Door Stops [OMNIA 7000 MODERN FLOOR DOOR STOP (US15 SATIN NICKEL)]</t>
  </si>
  <si>
    <t>Source: A0.30 Gen. Door Note 01  |  Pricing section: House  |  TAKEOFF: 4.00 EA -- F/O Stop/Catch [ ACCURATE 2002CPDP-Q QUIET POCKET DOOR EDGE  PULL (PASSAGE)] = $1,600.00 (row 58); 3.00 EA -- F/O Stop/Catch [MNIA 7000 MODERN FLOOR DOOR STOP (US15 SATIN NICKEL)] = $1,200.00 (row 59); 6.00 EA -- F/O Stop/Catch [ACCURATE 2002Q QUIET POCKET DOOR LOCK W/  INTEGRATED EDGE PULL/STRIKE  (PRIVACY)] = $2,400.00 (row 60); 16.00 EA -- F/O Stop/Catch [IVES 347 BALL CATCH (B15 SATIN NICKEL)] = $6,400.00 (row 61)</t>
  </si>
  <si>
    <t>F/O All Closet Door Pulls And Grilles [FTF - D MIN PULL (WHITE) DP-D-PW-6]</t>
  </si>
  <si>
    <t>Source: A0.30 Gen. Door Note 02  |  Pricing section: House  |  TAKEOFF: 1.00 EA -- F/O Handle/Pull 104B [ FTF - D MIN PULL (WHITE) DP-D-PW-6] = $160.00 (row 43); 1.00 EA -- F/O Handle/Pull 104C [ FTF - D MIN PULL (WHITE) DP-D-PW-6] = $160.00 (row 44); 1.00 EA -- F/O Handle/Pull 104D [ FTF - D MIN PULL (WHITE) DP-D-PW-6] = $160.00 (row 45); 1.00 EA -- F/O Handle/Pull 104E [ FTF - D MIN PULL (WHITE) DP-D-PW-6] = $160.00 (row 46); 1.00 EA -- F/O Handle/Pull 205B [ FTF - D MIN PULL (WHITE) DP-D-PW-6] = $160.00 (row 47); 1.00 EA -- F/O Handle/Pull 205C [ FTF - D MIN PULL (WHITE) DP-D-PW-6] = $160.00 (row 48); 1.00 EA -- F/O Handle/Pull 205D [ FTF - D MIN PULL (WHITE) DP-D-PW-6] = $160.00 (row 49); 1.00 EA -- F/O Handle/Pull 205E [ FTF - D MIN PULL (WHITE) DP-D-PW-6] = $160.00 (row 50); 1.00 EA -- F/O Handle/Pull 208B [ FTF - D MIN PULL (WHITE) DP-D-PW-6] = $160.00 (row 51); 1.00 EA -- F/O Handle/Pull 208C [ FTF - D MIN PULL (WHITE) DP-D-PW-6] = $160.00 (row 52); 1.00 EA -- F/O Handle/Pull 208D [ FTF - D MIN PULL (WHITE) DP-D-PW-6] = $160.00 (row 53); 1.00 EA -- F/O Handle/Pull 208E [ FTF - D MIN PULL (WHITE) DP-D-PW-6] = $160.00 (row 54); 1.00 EA -- F/O Handle/Pull 210A [ FTF - D MIN PULL (WHITE) DP-D-PW-6] = $160.00 (row 55); 1.00 EA -- F/O Handle/Pull 210B [ FTF - D MIN PULL (WHITE) DP-D-PW-6] = $160.00 (row 56)</t>
  </si>
  <si>
    <t>Provide Keying Of All Doors Alike [Not Specified]</t>
  </si>
  <si>
    <t>Source: A0.20 Gen. Note 04  |  Pricing section: House</t>
  </si>
  <si>
    <t>F/O Pocket Door 104A [SOLID CORE FLUSH PANEL, PAINT GRADE]</t>
  </si>
  <si>
    <t>ADDED FROM TAKEOFF (no SOW match): 1.00 EA -- F/O Door 104A [ 2'-8'' X 7'-9'',SOLID CORE FLUSH PANEL, PAINT GRADE] = $600.00 (row 36)</t>
  </si>
  <si>
    <t>F/O Soft-Close Pocket Door Hardware at Door 104A [JOHNSON 1500SC]</t>
  </si>
  <si>
    <t>ADDED FROM TAKEOFF (no SOW match): 1.00 EA -- F/O Hardware 104A [JOHNSON 1500SC SOFT CLOSE POCKET DOOR HARDWARE W/  INTEGRAL BUMPER &amp; HIDDEN DOOR GUIDE, ACCURATE CS2002T (INSIDE) + CS2002E (OUTSIDE)  (US15 SATIN NICKEL)] = $400.00 (row 40)</t>
  </si>
  <si>
    <t>F/I Insulated Overhead Garage Door 113A With Track As Required And Black Weather Seals [CLOPAY "MODERN STEEL" INSULATED OVERHEAD GARAGE DOOR #9208, SOLID FLUSH PANELS, STUCCO TEXTURE, BLACK 20'-0" X 9'-0" 2"]</t>
  </si>
  <si>
    <t>Source: A0.30 Door 113A  |  Pricing section: Garage  |  TAKEOFF: 1.00 EA -- F/O Garage Door 113A [ 19'-9" X 8'-10 1/2", CLOPAY "MODERN STEEL" INSULATED  OVERHEAD GARAGE DOOR #9208, SOLID  FLUSH PANELS, STUCCO TEXTURE, BLACK] = $8,500.00 (row 63); 1.00 EA -- I/O Garage Door 113A = $1,200.00 (row 64)</t>
  </si>
  <si>
    <t>F/I Garage Door Opener [LIFTMASTER PREMIUM SERIES #6690L 1-1/4 HP BELT DRIVE OPENER W/ BATTERY BACKUP, 360 CAMERA, 360 LED LIGHTING &amp; MYQ CONNECTIVITY]</t>
  </si>
  <si>
    <t>Source: A0.30 Door 113A  |  Pricing section: Garage  |  TAKEOFF: 1.00 EA -- F/O Garage Door Stop/Catch [LIFTMASTER PREMIUM SERIES #6690L 1-1/4 HP BELT  DRIVE OPENER W/ BATTERY BACKUP, 360 CAMERA,  360 LED LIGHTING &amp; MYQ CONNECTIVITY] = $1,000.00 (row 65); 1.00 EA -- I/O Garage Door Stop/Catch = $600.00 (row 66)</t>
  </si>
  <si>
    <t>F/I Windows At Front Stair (Outside Modules), Site-Mulled Units [MARVIN ESSENTIAL COLLECTION EXTERIOR FINISH: EBONY INTERIOR FINISH: STONE WHITE]</t>
  </si>
  <si>
    <t>Source: A0.20 #102A-107B, #201A-206B, Gen. Note 08  |  Pricing section: House  |  TAKEOFF: 1.00 EA -- F/O Window [ 102A- Marvin-  3'-5" X 4'-10 1/2"] = $2,300.00 (row 142); 1.00 EA -- F/O Window [ 102B- Marvin-  3'-5" X 3'-5"] = $1,900.00 (row 143); 1.00 EA -- F/O Window [ 103- Marvin-  3'-3 1/2" X 8'-7 1/2"] = $3,600.00 (row 144); 1.00 EA -- F/O Window [ 104- Marvin-  3'-3 1/2" X 8'-7 1/2"] = $3,600.00 (row 145); 1.00 EA -- F/O Window [ 105- Marvin-  3'-3 1/2" X 8'-7 1/2"] = $3,600.00 (row 146); 1.00 EA -- F/O Window [ 106- Marvin-  3'-3 1/2" X 8'-7 1/2"] = $3,600.00 (row 147); 1.00 EA -- F/O Window [ 107A- Marvin- 3'-5" X 4'-10 1/2"] = $2,300.00 (row 148); 1.00 EA -- F/O Window [ 107B- Marvin-  3'-5" X 3'-5"] = $1,900.00 (row 149); 1.00 EA -- F/O Window [ 201A- Marvin-   3'-5" X 3'-10 1/2"] = $2,000.00 (row 153); 1.00 EA -- F/O Window [ 201B- Marvin-   3'-5" X 3'-5"] = $1,900.00 (row 154); 1.00 EA -- F/O Window [ 202- Marvin-3'-3 1/2" X 7'-7 1/2"] = $3,300.00 (row 155); 1.00 EA -- F/O Window [ 203- Marvin-3'-3 1/2" X 7'-7 1/2"] = $3,300.00 (row 156); 1.00 EA -- F/O Window [ 204- Marvin-3'-3 1/2" X 7'-7 1/2"] = $3,300.00 (row 157); 1.00 EA -- F/O Window [ 205- Marvin-3'-3 1/2" X 7'-7 1/2"] = $3,300.00 (row 158); 1.00 EA -- F/O Window [ 206A- Marvin-3'-5" X 3'-10 1/2"] = $2,000.00 (row 159); 1.00 EA -- F/O Window [ 206B- Marvin-  3'-5" X 3'-5"] = $1,900.00 (row 160); 73% of 22.00 EA -- I/O Window = $4,800.00 (row 112)</t>
  </si>
  <si>
    <t>F/I Basement Windows #001, #002 And Sliding Door #003, Weathertight [MARVIN ESSENTIAL CASEMENT / PICTURE WINDOW; MARVIN ELEVATE SLIDING PATIO DOOR, 4 PANEL]</t>
  </si>
  <si>
    <t>Source: A0.20 #001, #002, #003, SUPP Sec. 2  |  Pricing section: House  |  TAKEOFF: 1.00 EA -- F/O Window [ 001- Marvin- 2'-5" X 4'-11"] = $1,900.00 (row 139); 1.00 EA -- F/O Window [ 002- Marvin- 4'-11" X 4'-11"] = $3,400.00 (row 140); 1.00 EA -- F/O Window [ 003- Marvin-  15'-9" X 8'-0 3/4"] = $14,500.00 (row 141); 14% of 22.00 EA -- I/O Window = $900.00 (row 112)</t>
  </si>
  <si>
    <t>F/I Garage Windows And Garage Inswing Door #128 With Frosted Glass [MARVIN ESSENTIAL DIRECT GLAZE WINDOW; MARVIN ELEVATE INSWING FRENCH DOOR]</t>
  </si>
  <si>
    <t>Source: A0.20 #128, #129, #130, #131  |  Pricing section: Garage  |  TAKEOFF: 1.00 EA -- F/O Window [ 129- Marvin-   9'-5" X 1'-11"] = $2,400.00 (row 150); 1.00 EA -- F/O Window [ 130- Marvin-   9'-5" X 1'-11"] = $2,400.00 (row 151); 1.00 EA -- F/O Window [ 131- Marvin-   9'-5" X 1'-11"] = $2,400.00 (row 152); 1.00 EA -- F/O Inswing French Door[ 128- Marvin-  3'-0 5/16" X 7'-11 1/2"] = $6,200.00 (row 161); 14% of 22.00 EA -- I/O Window = $900.00 (row 112); 1.00 EA -- I/O Inswing French Door = $1,200.00 (row 113)</t>
  </si>
  <si>
    <t>F/I Smart Keypad Lock At Door #128 [YALE ASSURE SMART KEYPAD LOCK]</t>
  </si>
  <si>
    <t>Source: A0.20 #128  |  Pricing section: Garage</t>
  </si>
  <si>
    <t>Provide Tempered Glazing Where Scheduled, Aluminum Drip Caps, Nailing Fins, Marine Grade Hardware And Screens At Operable Units [DUAL-PANE, ARGON-FILLED INSULATING UNITS WITH LOW-E2 COATINGS]</t>
  </si>
  <si>
    <t>Source: A0.20 Gen. Notes 03-06  |  Pricing section: House</t>
  </si>
  <si>
    <t>Provide ZIP Tape At Nailing Flanges And ZIP Flashing Tape At Sills Turned Up 6" Min. [Not Specified]</t>
  </si>
  <si>
    <t>Source: 01/A0.21, 03/A0.24  |  Pricing section: House</t>
  </si>
  <si>
    <t>Provide Add Alternate: Laminated Glazing Upgrade On All Units [FOR IMPROVED ACOUSTIC PERFORMANCE, GLAZING ON ALL UNITS TO HAVE LAMINATED UPGRADE.]</t>
  </si>
  <si>
    <t>Source: A0.20 Gen. Note 03  |  Pricing section: Alternate (A0.20 Glazing)</t>
  </si>
  <si>
    <t>F/I Glass Shower Doors [1/2'' LOW-IRON GLASS, TEMPERED; CRL SENIOR CARDIFF SERIES PIVOT HINGES SRCAR01BN (BRUSHED NICKEL); CRL "SQ" SERIES COMBINATION 6" PULL HANDLE 18" TOWEL BAR SQ6X18BN (BRUSHED NICKEL)]</t>
  </si>
  <si>
    <t>Source: A0.30 Doors 203B, 203C, 206B, 209B  |  Pricing section: House</t>
  </si>
  <si>
    <t>Provide Pivoting Glass Steam Vent In Primary Shower Door 203C [PIVOTING GLASS STEAM VENT IN SHOWER DOOR W/ SPEC'D HINGES]</t>
  </si>
  <si>
    <t>Source: 06/A4.04  |  Pricing section: House</t>
  </si>
  <si>
    <t>F/I Fixed Glass Shower Panels At Guest Baths 1, 2, 3 [1/2" THK. LOW-IRON FIXED GLASS PANEL W/ CRL BRITE ANOD ALUM U-CHANNEL SDCR12BA AT 3 SIDES]</t>
  </si>
  <si>
    <t>Source: 08/A4.01, 07/A4.05, 11/A4.05  |  Pricing section: House</t>
  </si>
  <si>
    <t>F/I Glass Partition At Top Of Interior Stair [1/2" THK. TEMPERED, LOW-IRON GLASS PARTITION FLOOR-TO-CLG. AND WALL-TO-WALL W/ ALL U-CHANNELS CONCEALED.]</t>
  </si>
  <si>
    <t>Source: 01/A2.20, 01/A2.21  |  Pricing section: House</t>
  </si>
  <si>
    <t>F/I Low-Voltage Switchable Privacy Film At Stair Glazed Partition Adjacent To Primary Suite [Not Specified]</t>
  </si>
  <si>
    <t>Source: SUPP Sec. 7.14  |  Pricing section: Alternate #14</t>
  </si>
  <si>
    <t>F/I Wall-to-Wall Mirror At Powder Room With Anodized Aluminum Angles Top And Bottom [1/4'' MIRROR. BY GC; 2'' X 1'' ANOD. ALUM. ANGLE AT TOP &amp; BOTTOM BY GC.]</t>
  </si>
  <si>
    <t>Source: 02/A4.01, 04/A4.01  |  Pricing section: House</t>
  </si>
  <si>
    <t>F/I Mirror Over Ply Flush With Medicine Cabinet Doors At Primary Bath With Anodized Aluminum Caps And Infills [1/4" MIRROR BY G.C. FLUSH W/ MED. CAB. DOORS; ANOD. ALUM. ANGLES CAPS TOP &amp; BOTTOM OF MIRROR BY GC]</t>
  </si>
  <si>
    <t>Source: 05/A4.04, 12/A4.04  |  Pricing section: House</t>
  </si>
  <si>
    <t>F/I Mirror At Primary Dressing [1/4" MIRROR BY G.C.]</t>
  </si>
  <si>
    <t>Source: 05/A4.03  |  Pricing section: House</t>
  </si>
  <si>
    <t>F/I Interior Wall GWB Outside Modules, Taped, Spackled And Primed [1/2" GWB (TAPED, SPACKLED &amp; PRIMED)]</t>
  </si>
  <si>
    <t>Source: A0.10  |  Pricing section: House  |  TAKEOFF: 5.00 EA -- 1/2" Standard Drywall 4x8 ( layers) = $517.36 (row 164); 148.50 SF -- Taping &amp; Finishing, Level 4 = $335.31 (row 165); 0.34 LB -- Drywall Screws = $1.40 (row 166); 6.00 EA -- 1/2" Standard Drywall 4x10 ( layers) = $776.04 (row 168); 218.34 SF -- Taping &amp; Finishing, Level 4 = $493.01 (row 169); 0.50 LB -- Drywall Screws = $2.05 (row 170)</t>
  </si>
  <si>
    <t>F/I Interior Ceiling GWB Outside Modules, Taped, Spackled And Primed [5/8" GWB TAPED, SPACKLED &amp; PRIMED]</t>
  </si>
  <si>
    <t>F/I GWB On Underside Of Garage Roof Framing [5/8" GWB ON UNDERSIDE OF FRAMING, BY GC]</t>
  </si>
  <si>
    <t>Provide Interior Field Completion At Mate Lines (Tape, Spackle And Patch) [Not Specified]</t>
  </si>
  <si>
    <t>F/I GWB At Temporary Basement Walls [Not Specified]</t>
  </si>
  <si>
    <t>F/I GWB And 2X4 Furring On Flat At Basement Window And Door Returns [1/2" PTD. GWB; 2X4 FURRING ON FLAT, TYP.]</t>
  </si>
  <si>
    <t>Source: 01/A0.24, 02/A0.24  |  Pricing section: House</t>
  </si>
  <si>
    <t>I/O Basement Door 000A And Garage Storage Door 112A With Paint Grade Frames [Not Specified]</t>
  </si>
  <si>
    <t>Source: A0.30 Doors 000A, 112A  |  Pricing section: House  |  TAKEOFF: 3.00 EA -- I/O Door = $1,350.00 (row 38)</t>
  </si>
  <si>
    <t>I/O Factory-Supplied Pocket Door 104A And Hardware Shipped Loose [JOHNSON 1500SC SOFT CLOSE POCKET DOOR HARDWARE W/ INTEGRAL BUMPER &amp; HIDDEN DOOR GUIDE]</t>
  </si>
  <si>
    <t>Source: A0.30 Door 104A  |  Pricing section: House</t>
  </si>
  <si>
    <t>I/O Factory-Supplied Pocket Door 105A Shipped Loose At Mate Line [Not Specified]</t>
  </si>
  <si>
    <t>Source: A0.30, 01/A4.01  |  Pricing section: House</t>
  </si>
  <si>
    <t>I/O Door Hardware, Door Stops, Closet Door Pulls And Grilles [Not Specified]</t>
  </si>
  <si>
    <t>Source: A0.30  |  Pricing section: House  |  TAKEOFF: 3.00 EA -- I/O Hardware = $450.00 (row 42); 14.00 EA -- I/O Handle/Pull = $2,100.00 (row 57); 29.00 EA -- I/O Stop/Catch = $4,350.00 (row 62)</t>
  </si>
  <si>
    <t>I/O Bath Accessories [KOHLER]</t>
  </si>
  <si>
    <t>Source: A0.11 04  |  Pricing section: House</t>
  </si>
  <si>
    <t>I/O Owner-Supplied Wall-Mounted TV And Mount [Not Specified]</t>
  </si>
  <si>
    <t>Provide Delivery Acceptance And Coordination Of Owner-Supplied TV And Mount [Not Specified]</t>
  </si>
  <si>
    <t>F/I T-3 Large Format Floor Tile At Foyer, Mudroom, Guest Bedroom 1, Kitchen And Living / Dining [DALTILE HAUT MONDE EMPIRE BLACK UNPOLISHED HM06 24X48 1/16" JOINTS]</t>
  </si>
  <si>
    <t>Source: A1.41, A0.10 Finish Sch., A1.40 Gen. Note 04  |  Pricing section: House  |  TAKEOFF: 1,117.84 SF -- F/I Floor Tile T-3 [HAUT MONDE EMPIRE BLACK UNPOLISHED HM06-  24X48] = $36,888.72 (row 163)</t>
  </si>
  <si>
    <t>Provide Floor Tile Continuous Under All Countertops, Desktops And Floating Cabinets [Not Specified]</t>
  </si>
  <si>
    <t>Source: A1.40 Gen. Note 06  |  Pricing section: House</t>
  </si>
  <si>
    <t>Provide Single Cut Tile In Door Openings As Flush Threshold And Start Floor Tile Centered On Door Openings [GC TO USE SINGLE CUT TILE IN DOOR OPNG AS FLUSH THRESHOLD]</t>
  </si>
  <si>
    <t>Source: 01/A4.01  |  Pricing section: House</t>
  </si>
  <si>
    <t>Coordinate Tile Transitions At Mate Lines With Factory-Completed Bathroom Tile [Not Specified]</t>
  </si>
  <si>
    <t>F/I FL-1 Site-Finished Solid White Oak Flooring At Second Floor Rooms, Hall And Closets [SOLID WHITE OAK, SELECT GRADE &amp; BETTER W/ LIGHT STAIN &amp; ACRYLIC SEALER 3/4" THK, 5" BOARDS]</t>
  </si>
  <si>
    <t>Source: A1.42, A0.10 Finish Sch.  |  Pricing section: House  |  TAKEOFF: 1,158.94 SF -- F/I Wood flooring = $26,655.62 (row 162)</t>
  </si>
  <si>
    <t>Provide Samples For Owner / Architect Approval [Not Specified]</t>
  </si>
  <si>
    <t>Prep And Paint Interior Walls, 3 Coats [BENJAMIN MOORE AURA WATERBORNE INTERIOR PAINT - MATTE FINISH (522); COLOR TBD]</t>
  </si>
  <si>
    <t>Source: A0.10  |  Pricing section: House  |  TAKEOFF: 148.50 SF -- Primer + 2 Coat (Roll) = $467.66 (row 167); 218.34 SF -- Primer + 2 Coat (Roll) = $687.61 (row 171)</t>
  </si>
  <si>
    <t>Prep And Paint Interior Ceilings, 3 Coats [BENJAMIN MOORE AURA WATERBORNE INTERIOR PAINT - MATTE FINISH (522), U.O.N.; COLOR TBD]</t>
  </si>
  <si>
    <t>Prep And Paint Bathrooms, 3 Coats [BENJAMIN MOORE AURA BATH &amp; SPA WATERBORNE INTERIOR PAINT - MATTE FINISH (532); COLOR TBD]</t>
  </si>
  <si>
    <t>Prep And Paint Finished Trim, 3 Coats [BENJAMIN MOORE ADVANCE WATERBORNE INTERIOR ALKYD PAINT - SATIN FINISH (792); COLOR TBD]</t>
  </si>
  <si>
    <t>Prep And Paint Paint Grade Interior Doors [Not Specified]</t>
  </si>
  <si>
    <t>Source: A0.30 Door Types  |  Pricing section: House</t>
  </si>
  <si>
    <t>Prep And Stain S-1 Cedar Siding, 2 Coats [(2) COATS, BLACK STAIN TBD]</t>
  </si>
  <si>
    <t>Source: A0.10 Finish Sch. S-1  |  Pricing section: House</t>
  </si>
  <si>
    <t>Prep And Stain S-2 Cedar Ceilings, 2 Coats [(2) COATS, LIGHT OR BLEACHED STAIN TBD]</t>
  </si>
  <si>
    <t>Source: A0.10 Finish Sch. S-2  |  Pricing section: House</t>
  </si>
  <si>
    <t>Provide Stain Samples For Architect Approval [Not Specified]</t>
  </si>
  <si>
    <t>Prep And Paint Exposed Surfaces Around Mirror Lights To Match Wall Color [Not Specified]</t>
  </si>
  <si>
    <t>Source: 04/A4.01  |  Pricing section: House</t>
  </si>
  <si>
    <t>F/O Grab Bars At Guest Bath 1 (3) 40" And (1) 54", Guest Bath 2 (1) 54", Guest Bath 3 (1) 54" [KOHLER CHOREOGRAPH K-97627-BNK / K-97628-BNK BRUSHED NICKEL]</t>
  </si>
  <si>
    <t>Source: A0.11 04  |  Pricing section: House  |  TAKEOFF: 3.00 EA -- F/O Bath Accessory [105 GBath-1-  GRAB BAR, 40"- Kohler-K-97627-BNK] = $1,500.00 (row 7); 1.00 EA -- F/O Bath Accessory [105 GBath-1-  GRAB BAR, 54"- Kohler-K-97628-BNK] = $580.00 (row 8); 1.00 EA -- F/O Bath Accessory [206 GBath-2-  GRAB BAR, 54"- Kohler-K-97628-BNK] = $580.00 (row 14); 1.00 EA -- F/O Bath Accessory [209 GBath-3-  GRAB BAR, 54"- Kohler-K-97628-BNK] = $580.00 (row 15)</t>
  </si>
  <si>
    <t>F/O Toilet Paper Holders At Guest Bath 1, Powder Room, Primary Bath, Guest Bath 2, Guest Bath 3 [KOHLER PARALLEL K-23528-BN BRUSHED NICKEL]</t>
  </si>
  <si>
    <t>Source: A0.11 04  |  Pricing section: House  |  TAKEOFF: 1.00 EA -- F/O Bath Accessory [105 GBath-1-  TP HOLDER- Kohler-K-23528-BN] = $165.00 (row 9); 1.00 EA -- F/O Bath Accessory [103 Powder Room-  TP HOLDER- Kohler-K-23528-BN] = $165.00 (row 10); 1.00 EA -- F/O Bath Accessory [203 Primary Bath-  TP HOLDER- Kohler-K-23528-BN] = $165.00 (row 11); 1.00 EA -- F/O Bath Accessory [206 GBath-2- TP HOLDER- Kohler-K-23528-BN] = $165.00 (row 12); 1.00 EA -- F/O Bath Accessory [209 GBath-3 - TP HOLDER- Kohler-K-23528-BN] = $165.00 (row 13)</t>
  </si>
  <si>
    <t>F/O Robe Hooks At Primary Bath (2), Guest Bath 2 (1), Guest Bath 3 (1) [KOHLER PARALLEL K-23529-BN BRUSHED NICKEL]</t>
  </si>
  <si>
    <t>Source: A0.11 04  |  Pricing section: House  |  TAKEOFF: 2.00 EA -- F/O Bath Accessory [203 Primary Bath-  ROBE HOOK- Kohler-K-23529-BN] = $180.00 (row 17); 1.00 EA -- F/O Bath Accessory [206 GBath-2-  ROBE HOOK- Kohler-K-23529-BN] = $90.00 (row 18); 1.00 EA -- F/O Bath Accessory [209 GBath-3-  ROBE HOOK- Kohler-K-23529-BN] = $90.00 (row 19)</t>
  </si>
  <si>
    <t>F/O 24" Towel Bars At Primary Bath (2) [KOHLER PARALLEL K-23525-BN BRUSHED NICKEL]</t>
  </si>
  <si>
    <t>Source: A0.11 04  |  Pricing section: House  |  TAKEOFF: 2.00 EA -- F/O Bath Accessory [203 Primary Bath- TOWEL BAR, 24"- Kohler- K-23525-BN] = $430.00 (row 16)</t>
  </si>
  <si>
    <t>F/O Kitchen Appliances [MIELE G 7186 SCVi AutoDos; SUBZERO DEC1850W; SUBZERO CL4250UFDID/O; MIELE DAS 4930; MIELE KM 7745 FL; WOLF WWD30; WOLF CSO3050CM/B; WOLF SO3050CM/B; WOLF MD24TE/S; SUBZERO UC-2450R]</t>
  </si>
  <si>
    <t>Source: A0.11 03  |  Pricing section: House  |  TAKEOFF: 1.00 EA -- F/O Dishwasher [MIELE- G 7186 SCVi  AutoDos] = $2,400.00 (row 20); 1.00 EA -- F/O WINE STORAGE [SUBZERO- DEC1850W] = $10,000.00 (row 21); 1.00 EA -- F/O FRIDGE / FREEZER [SUBZERO-CL4250UFDID/O] = $16,500.00 (row 22); 1.00 EA -- F/O RANGE HOOD [MIELE- DAS 4930] = $2,000.00 (row 23); 1.00 EA -- F/O COOKTOP [MIELE- KM 7745 FL] = $4,500.00 (row 24); 1.00 EA -- F/O WARMING DRAWER [WOLF-WWD30] = $3,000.00 (row 25); 1.00 EA -- F/O STEAM OVEN [WOLF- CSO3050CM/B] = $9,500.00 (row 26); 1.00 EA -- F/O OVEN [WOLF-SO3050CM/B] = $7,500.00 (row 27); 1.00 EA -- F/O MICROWAVE [WOLF- MD24TE/S] = $2,800.00 (row 28); 1.00 EA -- F/O REFRIGERATOR [SUBZERO-UC-2450R] = $3,800.00 (row 29)</t>
  </si>
  <si>
    <t>F/O Outdoor Kitchen Appliances [TRADE-WIND L7248-12; WOLF OG36; WOLF BM13]</t>
  </si>
  <si>
    <t>Source: A0.11 03  |  Pricing section: House  |  TAKEOFF: 1.00 EA -- F/O GRILLE LINER [TRADE-WIND-L7248-12] = $3,200.00 (row 30); 1.00 EA -- F/O OUTDOOR GRILL [WOLF-OG36] = $8,000.00 (row 31); 1.00 EA -- F/O BURNER [WOLF-BM13] = $2,400.00 (row 32)</t>
  </si>
  <si>
    <t>F/O Laundry Appliances With Side Venting And Stacking Kits [LG DLEX4000B; LG WM4000HBA]</t>
  </si>
  <si>
    <t>Source: A0.11 03  |  Pricing section: House  |  TAKEOFF: 1.00 EA -- F/O DRYER [LG-DLEX4000B] = $1,000.00 (row 33); 1.00 EA -- F/O WASHING MACHINE [LG-WM4000HBA] = $1,100.00 (row 34)</t>
  </si>
  <si>
    <t>I/O Appliances Including Flush / Panel-Ready Installation Per Manufacturer (Vendor Delivers And Uncrates Only) [Not Specified]</t>
  </si>
  <si>
    <t>Source: A0.11 03, PROP Appliances  |  Pricing section: House</t>
  </si>
  <si>
    <t>Coordinate Factory Appliance Preparation Within Modules And Complete Final Connections [Not Specified]</t>
  </si>
  <si>
    <t>Source: SBS 9-1, A0.11 Gen. Note 01  |  Pricing section: House</t>
  </si>
  <si>
    <t>Window Treatments</t>
  </si>
  <si>
    <t>F/I Battery-Powered Roller Shades Within Window Trim In White Architectural Fascia At Scheduled Locations [LUTRON BATTERY-POWERED ROLLER SHADES - SIVOIA QS TRIATHLON - CONTROLLED ON RADIORA SYSTEM]</t>
  </si>
  <si>
    <t>Source: A1.20-A1.22 Shading Notes, A0.20 Gen. Note 11, SUPP Sec. 7.13  |  Pricing section: Alternate #13</t>
  </si>
  <si>
    <t>F/I Primary Bedroom Blackout Shades And Ceiling-Mounted Shades At Windows / Doors 214, 215, 216 [LUTRON SIVOIA QS TRIATHLON SHADES W/ BLACKOUT FABRIC &amp; LUTRON PALLADIOM BATTERY-POWERED CLG-MTD SHADES]</t>
  </si>
  <si>
    <t>Source: A1.22  |  Pricing section: Alternate #13</t>
  </si>
  <si>
    <t>Provide Mock-Up Of Roller Shade And Custom Valance Assembly [GC TO PREPARE MOCK-UP OF ROLLER SHADE &amp; CUSTOM VALANCE ASSEMBLY]</t>
  </si>
  <si>
    <t>F/I CT-3 Exterior Countertop At Outdoor Kitchen Wrapping Top And Sides (4 Sides) And Full Backsplash [CAESARSTONE 405 MIDDAY, EXTERIOR COLLECTION 3CM]</t>
  </si>
  <si>
    <t>Source: A0.10 Finish Sch. CT-3, SUPP Sec. 6.13  |  Pricing section: House</t>
  </si>
  <si>
    <t>Provide Appliance Cutouts In Factory-Installed Kitchen Countertops [Not Specified]</t>
  </si>
  <si>
    <t>Source: SBS 10-4  |  Pricing section: House</t>
  </si>
  <si>
    <t>Special Construction</t>
  </si>
  <si>
    <t>F/I 8X8 Prefabricated Hot Tub With Ipe Benches And Steps Around All Sides At Upper Roof Deck [Not Specified]</t>
  </si>
  <si>
    <t>Source: SUPP Sec. 7.5, A1.13  |  Pricing section: Alternate #5</t>
  </si>
  <si>
    <t>F/O Factory-Built Modules (7 Boxes) Per Signature Building Systems Construction Estimate, Less Owner-Paid Engineering [SIGNATURE BUILDING SYSTEMS]</t>
  </si>
  <si>
    <t>Source: SBS Estimate 08/14/2026, SUPP Sec. 4  |  Pricing section: House</t>
  </si>
  <si>
    <t>Provide Freight, 3rd Party Inspections, NY State Seals, 3rd Party Seals And Labels, Carrier Usage And Carrier Deposit [Not Specified]</t>
  </si>
  <si>
    <t>Source: SBS 20-1 to 20-10  |  Pricing section: House</t>
  </si>
  <si>
    <t>Provide HERS Rater To Provide SBS With HERS Modeling Index Prior To Production [GC MUST HIRE HERS RATER]</t>
  </si>
  <si>
    <t>Source: SBS 1-9  |  Pricing section: House</t>
  </si>
  <si>
    <t>Provide Site Preparation For Module Delivery And Setting [Not Specified]</t>
  </si>
  <si>
    <t>Provide Crane Rental And Rigging [CRANE RENTAL]</t>
  </si>
  <si>
    <t>Source: A0.10, PROP Erection  |  Pricing section: House</t>
  </si>
  <si>
    <t>I/O Modules With Set Crew To Assist And Direct Assembly [SET CREW TO ASSIST &amp; DIRECT ASSEMBLY]</t>
  </si>
  <si>
    <t>Source: A0.10, SBS Set List, PROP Erection  |  Pricing section: House</t>
  </si>
  <si>
    <t>Provide Sill Attachments, Structural Connections Between Modules And Between Modular And Site-Built Construction [Not Specified]</t>
  </si>
  <si>
    <t>Provide Temporary Bracing And Temporary Roof Protection [Not Specified]</t>
  </si>
  <si>
    <t>Source: SUPP Sec. 4, PROP Erection  |  Pricing section: House</t>
  </si>
  <si>
    <t>I/O All Items Shipped Loose By Factory [Not Specified]</t>
  </si>
  <si>
    <t>Connect Water Lines Between Modules [CONNECT LINES BETWEEN MODULES]</t>
  </si>
  <si>
    <t>F/I Frost-Free Hose Bibbs At Basement, Garage, Garage Storage, Decks And Roof Deck [NON-FREEZE HOSE BIBS]</t>
  </si>
  <si>
    <t>Source: A0.10, A1.10-A1.13 Keynote 5  |  Pricing section: House</t>
  </si>
  <si>
    <t>Provide Domestic Water Distribution Outside Modules Including Basement Equipment [Not Specified]</t>
  </si>
  <si>
    <t>Source: A0.10, A1.10  |  Pricing section: House</t>
  </si>
  <si>
    <t>Provide Under-Slab Plumbing Rough-Ins For Future Phase II Basement Layout [PLUMB UNDER SLAB AS REQ'D. IN PHASE 1 FOR PROPOSED PHASE II LAYOUT.]</t>
  </si>
  <si>
    <t>Source: A1.10, SUPP Sec. 2  |  Pricing section: Foundation</t>
  </si>
  <si>
    <t>Connect Waste And Vent Lines Between Modules And To Site Systems [CONNECT LINES BETWEEN MODULES]</t>
  </si>
  <si>
    <t>F/I Radon Vent From Factory-Supplied Pipe Above Utility Closets To Roof [3" PVC PIPE]</t>
  </si>
  <si>
    <t>Source: A0.10, SBS 7-34  |  Pricing section: House</t>
  </si>
  <si>
    <t>Connect Factory Roof Drains Through Internal Leaders To Site Storm System [ALL ROOF DRAINS TO BE PLUMBED THROUGH INTERNAL LEADERS]</t>
  </si>
  <si>
    <t>Source: A1.10 Gen. Note 03, A1.11 Gen. Note 06  |  Pricing section: House</t>
  </si>
  <si>
    <t>Provide Accommodations As Required For Future Laundry And Bath Exhausts [Not Specified]</t>
  </si>
  <si>
    <t>Source: A1.20  |  Pricing section: House</t>
  </si>
  <si>
    <t>F/I Sump Pits And Pumps At Below-Grade Level [SUMPS AND PUMPS ARE RECOMMENDED FOR ALL BELOW GRADE LEVELS.]</t>
  </si>
  <si>
    <t>Source: GEO p.10  |  Pricing section: Foundation</t>
  </si>
  <si>
    <t>F/I Tankless Domestic Water Heaters, Appropriately Sized [NORITZ]</t>
  </si>
  <si>
    <t>F/I Garbage Disposal With Sinktop Switch At Kitchen [INSINKERATOR EVOLUTION 200; INSINKERATOR SINKTOP SWITCH BUTTON W/ SATIN NICKEL FINISH - SKU #73274]</t>
  </si>
  <si>
    <t>Source: A0.11 01  |  Pricing section: House  |  TAKEOFF: 1.00 EA -- F/I Garbage Disposal [  INSINKERATOR- EVOLUTION 200] = $1,500.00 (row 172)</t>
  </si>
  <si>
    <t>I/O Factory-Supplied Freestanding Tub Shipped Loose At Primary Bath [SIGNATURE 66" OCALA SOLID SURFACE FREESTANDING TUB 948060 WHITE]</t>
  </si>
  <si>
    <t>Source: A0.11 01, SBS 18-1  |  Pricing section: House  |  TAKEOFF: 1.00 EA -- I/O Bath Tub 203 Master Bath [SIGNATURE- 66" OCALA SOLID SURFACE FREESTANDING TUB-948060-White] = $2,500.00 (row 173)</t>
  </si>
  <si>
    <t>I/O Factory-Supplied Floor-Mount Bath Filler Shipped Loose [KOHLER PARALLEL FLOOR-MOUNT BATH FILLER K-T23492-4-BN]</t>
  </si>
  <si>
    <t>Source: A0.11 01, SBS 18-1  |  Pricing section: House  |  TAKEOFF: 1.00 EA -- I/O Bath Filler 203 Master Bath [KOHLER-PARALLEL FLOOR-MOUNT BATH FILLER- K-T23492-4-BN] = $1,200.00 (row 174)</t>
  </si>
  <si>
    <t>Provide Plumbing Connections For Refrigerator, Dishwasher, Steam Oven And Outdoor Kitchen As Required [Not Specified]</t>
  </si>
  <si>
    <t>Source: A0.11 03  |  Pricing section: House</t>
  </si>
  <si>
    <t>Provide Gas Piping As Required Per Plans Including Reconnection / Extension Of Existing Gas Service [GAS PIPING AS REQ'D PER PLANS]</t>
  </si>
  <si>
    <t>Source: A0.10, SUPP Sec. 2  |  Pricing section: House</t>
  </si>
  <si>
    <t>Provide Gas Piping To Outdoor Kitchen Grill And Burner [Not Specified]</t>
  </si>
  <si>
    <t>F/I Small-Duct High-Velocity Supply And Return Distribution With Round, Linear Slot And Linear Bar Grilles [CEILING SUPPY - ROUND; CEILING SUPPY - LINEAR SLOT; SOFFIT/WALL SUPPY - LINEAR SLOT; RETURN - LINEAR BAR GRILLE]</t>
  </si>
  <si>
    <t>Source: SUPP Sec. 6.14, A1.20-A1.22 HVAC Legend  |  Pricing section: House</t>
  </si>
  <si>
    <t>F/I Exterior Exhaust Louvers At Bathrooms, Laundry And Kitchen [SEIHO SFZC ALUM. VENT LOUVER (4" DIA. @ BATHROOMS &amp; LAUNDRY, 6" DIA. @ KITCHEN)]</t>
  </si>
  <si>
    <t>Source: A0.10, A2.00 Keynote 12, A2.00 Gen. Note 04  |  Pricing section: House</t>
  </si>
  <si>
    <t>F/I 6" Round Kitchen Exhaust Duct To Exterior [6" ROUND KITCHEN EXHAUST DUCT PER MANF. SPECS]</t>
  </si>
  <si>
    <t>Source: 06/A4.02, A1.21  |  Pricing section: House</t>
  </si>
  <si>
    <t>Provide Dryer Vent To Exterior [Not Specified]</t>
  </si>
  <si>
    <t>Provide Outdoor Grill Hood Exhaust Ducting [TRADE-WIND L7248-12]</t>
  </si>
  <si>
    <t>F/I Geothermal Small-Duct, High-Velocity Heating And Cooling System Including Ground Loop, Heat Pump, Flow Center And Buffer Tank [GEO HEAT PUMP; FLOW CENTER; GEO BUFFER]</t>
  </si>
  <si>
    <t>Source: SUPP Sec. 6.14, SBS 6-1, A1.20  |  Pricing section: House</t>
  </si>
  <si>
    <t>F/I Air Handlers AHU #1 (Basement) And AHU #3 (AHU Closet 207) [Not Specified]</t>
  </si>
  <si>
    <t>Source: A1.10, A1.12  |  Pricing section: House</t>
  </si>
  <si>
    <t>Fabricate And Install Modular Portion Of HVAC System In Factory (GC Subcontractor At Factory) [TAPROOTGEO HVAC SYSTEM]</t>
  </si>
  <si>
    <t>Source: SBS 6-1  |  Pricing section: House</t>
  </si>
  <si>
    <t>F/I Thermostats [24/7 DIGITAL PROGRAMMABLE, WIFI COMPATIBLE]</t>
  </si>
  <si>
    <t>Coordinate Current Design To Accommodate Future Basement Conditioning (AHU #2) [Not Specified]</t>
  </si>
  <si>
    <t>Source: SUPP Sec. 6.14, A1.10  |  Pricing section: House</t>
  </si>
  <si>
    <t>F/I Energy-Recovery Ventilator [ERV (HUNG HIGH)]</t>
  </si>
  <si>
    <t>Source: SUPP Sec. 7.10, A1.10, A1.20  |  Pricing section: Alternate #10</t>
  </si>
  <si>
    <t>F/I Data Receptacles Outside Modules With (2) CAT-6 Homeruns [TELEPHONE/DATA RECEPTACLE DUAL CAT-6]</t>
  </si>
  <si>
    <t>Source: A1.30-A1.33 Elec. Note 07  |  Pricing section: House  |  TAKEOFF: 3.00 EA -- F/I Telephone/ Data Receptacle = $750.00 (row 188)</t>
  </si>
  <si>
    <t>F/I Ceiling Speakers And Associated AV Equipment Indicated On RCPs [SPK CEILING SPEAKER]</t>
  </si>
  <si>
    <t>Source: SUPP Sec. 7.12, A1.20-A1.22  |  Pricing section: Alternate #12</t>
  </si>
  <si>
    <t>F/I Wi-Fi Networking Throughout Home And Exterior Spaces [PRESUME 3-4, INDOOR AND 2-4 OUTDOOR PTS. FOR COST ESTIMATING. PRESUME POE- (2)CAT-6 TO EA. LOCATION.]</t>
  </si>
  <si>
    <t>Source: SUPP Sec. 7.12, A1.20 WAP Legend  |  Pricing section: Alternate #12</t>
  </si>
  <si>
    <t>F/I 75-80" TV At Flex Room With Soundbar And Framing System [SONOS SOUNDBAR AND LEON EDGE FIT FRAMING SYSTEM, OR APPROVED EQUAL]</t>
  </si>
  <si>
    <t>Source: SUPP Sec. 7.12, A1.32  |  Pricing section: Alternate #12</t>
  </si>
  <si>
    <t>F/I Aftermarket Security System Coordinated With Owner [Not Specified]</t>
  </si>
  <si>
    <t>Source: SUPP Sec. 7.11  |  Pricing section: Alternate #11</t>
  </si>
  <si>
    <t>Provide Temporary Power And Lighting [Not Specified]</t>
  </si>
  <si>
    <t>Source: SUPP Sec. 2  |  Pricing section: Site</t>
  </si>
  <si>
    <t>Provide Disconnect And Safe-Off Of Existing Dwelling Electrical Service Prior To Demolition [Not Specified]</t>
  </si>
  <si>
    <t>Source: SUPP Sec. 7.1  |  Pricing section: Alternate #1</t>
  </si>
  <si>
    <t>Connect Wiring Between Modules [12/2 ROMEX WIRING (ALL IN MODULES BY FACTORY. CONNECTIONS BETWEEN MODULES BY GC.)]</t>
  </si>
  <si>
    <t>Provide All Rough Electrical Wiring Outside Modules (Basement, Garage, Exterior, Stair Volume, Decks, Roof Deck) [Not Specified]</t>
  </si>
  <si>
    <t>Source: A0.11 Lighting Gen. Note 01, A1.20 Plan Note  |  Pricing section: House</t>
  </si>
  <si>
    <t>Provide Code-Required Convenience Outlets And Equipment Circuits In Unfinished Basement [CONVENIENCE OUTLETS IN UNFINISHED BASEMENT IN PHASE 1 SCOPE.]</t>
  </si>
  <si>
    <t>Source: A1.30, SUPP Sec. 2  |  Pricing section: House</t>
  </si>
  <si>
    <t>Provide Two 60-Amp Fast-Charging EV Outlets With Oversized Conduit For Future Bidirectional Charging [(2) 60-AMP FAST-CHARGING EV OUTLETS]</t>
  </si>
  <si>
    <t>Source: A1.31  |  Pricing section: Garage  |  TAKEOFF: 2.00 EA -- F/I EV Outlet 200AMP = $3,000.00 (row 190)</t>
  </si>
  <si>
    <t>Provide Appliance Circuits Outside Modules Including Outdoor Kitchen And Grill Hood [Not Specified]</t>
  </si>
  <si>
    <t>Source: A0.11 03, A1.31  |  Pricing section: House  |  TAKEOFF: 16.00 EA -- F/I Dedicated Receptacle = $4,000.00 (row 187)</t>
  </si>
  <si>
    <t>Connect Factory Solar Conduit Between Modules To Load Center And Roof [(2X) 2" PVC CONDUIT]</t>
  </si>
  <si>
    <t>Source: A0.10, A1.30-A1.33  |  Pricing section: House</t>
  </si>
  <si>
    <t>F/I Smoke And Carbon Monoxide Detectors Outside Modules (Basement, Stair Volume, Garage) Per Code [DUAL AC/DC SMOKE DETECTOR - CARBON MONOXIDE DETECTOR PER CODE]</t>
  </si>
  <si>
    <t>Source: A0.10, SUPP Sec. 2  |  Pricing section: House  |  TAKEOFF: 6.00 EA -- F/I Smoke &amp; CO Detector = $900.00 (row 178)</t>
  </si>
  <si>
    <t>Provide Future GFI Hot Tub Circuit Provision At Roof Deck [FUTURE GFI HOT TUB]</t>
  </si>
  <si>
    <t>Source: A1.33  |  Pricing section: Alternate #5</t>
  </si>
  <si>
    <t>Replace Factory Temporary Rocker Switches With Ship-Loose RadioRA3 Controls [LUTRON RADIORA3]</t>
  </si>
  <si>
    <t>Source: A1.20 RadioRA3 Scope 01  |  Pricing section: House</t>
  </si>
  <si>
    <t>F/I All Wireless Devices, Processor And Repeaters [RADIORA 3 ALL IN ONE PROCESSOR; RADIORA 3 REPEATER]</t>
  </si>
  <si>
    <t>Source: A1.20 RadioRA3 Scope 02  |  Pricing section: House</t>
  </si>
  <si>
    <t>F/I All Devices And Controls Outside Modules Including Pico Remotes, Keypads, Mounting Plates And Bridges [Not Specified]</t>
  </si>
  <si>
    <t>Source: A1.20 RadioRA3 Scope 03, SBS 7-9  |  Pricing section: House  |  TAKEOFF: 32.00 EA -- F/I Sunnata Dimmer Switch = $6,400.00 (row 175); 13.00 EA -- F/I Sunnata 3-Way Dimmer Switch = $2,600.00 (row 177)</t>
  </si>
  <si>
    <t>F/I Remote Dimmer Bank In Basement Utility Closet; Connect And Label Factory Whips [LUTRON SUNNATA DIMMER SWITCH REMOTED IN BASEMENT]</t>
  </si>
  <si>
    <t>Source: A1.20 RCP Keynote 1, A1.20  |  Pricing section: House</t>
  </si>
  <si>
    <t>F/I Pico Switches For Shades In Guest Bath Faceplates [PICO SWITCH BY GC FOR SHADES]</t>
  </si>
  <si>
    <t>Source: A1.22  |  Pricing section: House</t>
  </si>
  <si>
    <t>F/O Wired Keypads And Fan Timer Switches Listed As Not Included In Factory Estimate, Shipped To Factory Or Installed On Site [Lutron RRST-W3RL-WH RadioRA3 Sunnata Keypad - 3-Button w/ Raise/Lower; Lutron RRST-W4B-WH RadioRA3 Sunnata Keypad - 4-Button; Lutron Maestro MA-T51-WH]</t>
  </si>
  <si>
    <t>Source: SBS 7-6, 7-7, 7-8  |  Pricing section: House  |  TAKEOFF: 4.00 EA -- F/I Maestro Fan Timer Switch = $800.00 (row 176)</t>
  </si>
  <si>
    <t>Provide All System Programming Including Keypad Engraving And 30-Minute Exhaust Fan Timers [SUGGESTED KEYPAD BUTTON SCHEDULE]</t>
  </si>
  <si>
    <t>Source: A1.20 RadioRA3 Scope 04, A1.21 03, RCP Keynote 5  |  Pricing section: House</t>
  </si>
  <si>
    <t>Provide Compatible Drivers, Dimmers And Lutron Minimum Load Capacitors As Required [Not Specified]</t>
  </si>
  <si>
    <t>Source: A1.20 Lighting Note 10  |  Pricing section: House</t>
  </si>
  <si>
    <t>Provide Underground Electric Service Including Reconnection / Extension Of Existing Service; Confirm Service Size Adequate [Not Specified]</t>
  </si>
  <si>
    <t>Source: A0.10, SUPP Sec. 2  |  Pricing section: Site</t>
  </si>
  <si>
    <t>F/I Underground Conduit For Telephone, Cable And Internet Services [Not Specified]</t>
  </si>
  <si>
    <t>Source: A0.10  |  Pricing section: Site</t>
  </si>
  <si>
    <t>I/O Factory-Supplied 200A Panel Dropped To Basement And Connect Labeled Module Wiring To Panel [ELECTRICAL PANEL &amp; SUBPANEL(S) AS REQ'D.]</t>
  </si>
  <si>
    <t>Source: A0.10, SBS 7-1, A1.30  |  Pricing section: House</t>
  </si>
  <si>
    <t>F/I 200 Amp Subpanel In Garage For EV Outlets, Location Coordinated With Architect [200 AMP SUBPANEL]</t>
  </si>
  <si>
    <t>Source: A1.31  |  Pricing section: Garage  |  TAKEOFF: 1.00 EA -- F/I Electric Panel = $3,200.00 (row 191)</t>
  </si>
  <si>
    <t>I/O Factory-Supplied Faceplates In Modules And F/I Faceplates Outside Modules [LUTRON CLARO SCREWLESS DESIGNER SERIES, WHITE]</t>
  </si>
  <si>
    <t>Source: SBS 7-10 to 7-15, A0.10  |  Pricing section: House</t>
  </si>
  <si>
    <t>I/O Factory-Supplied Floor Boxes With Whips; Locations TBD Pending Furniture Layout [WALKER 862DB FLOOR BOXES W/BRUSHED ALUM ROUND FLIP-LID COVER]</t>
  </si>
  <si>
    <t>Source: A0.10, A1.31  |  Pricing section: House  |  TAKEOFF: 9.00 EA -- F/I Floor Duplex Receptacle = $3,600.00 (row 185)</t>
  </si>
  <si>
    <t>F/I GFI Receptacles At Basement, Garage, Exterior, Decks And Roof Deck [GROUND FAULT INTERRUPT DUPLEX RECEPTACLE]</t>
  </si>
  <si>
    <t>Source: A1.30-A1.33  |  Pricing section: House  |  TAKEOFF: 25.00 EA -- GFCI Receptacle, 20A = $1,925.00 (row 182); 14.00 EA -- F/I Weather Proof GFI = $4,200.00 (row 183)</t>
  </si>
  <si>
    <t>F/I Outlet In Underside Of Medicine Cabinet With Stainless Steel Faceplate (Roughing By Factory) [Not Specified]</t>
  </si>
  <si>
    <t>Source: 12/A4.04  |  Pricing section: House</t>
  </si>
  <si>
    <t>Provide Black Devices On Black Steel Walls [ALL DEVICES ON BLACK STEEL WALLS TO BE BLACK.]</t>
  </si>
  <si>
    <t>Source: 02/A4.03, 06/A4.03  |  Pricing section: House</t>
  </si>
  <si>
    <t>F/O L1 And L2 Downlights Outside Modules (Stair Volume, Basement Stair) [JUNO IC1LED-G4-09LM-30K-90CRI; JUNO 2LEDTRIM-G2-DC-30K-90CRI-FL]</t>
  </si>
  <si>
    <t>Source: A0.11 02, A1.20, A1.21  |  Pricing section: House</t>
  </si>
  <si>
    <t>I/O L1 And L2 Downlights Outside Modules [Not Specified]</t>
  </si>
  <si>
    <t>F/O L1A Wet-Rated Downlights At Garage And Garage Storage [JUNO IC1LED-G4-09LM-30K-90CRI 12WWH]</t>
  </si>
  <si>
    <t>Source: A0.11 02, 02/A1.21  |  Pricing section: Garage  |  TAKEOFF: 9.00 EA -- F/I L1A = $4,500.00 (row 5)</t>
  </si>
  <si>
    <t>I/O L1A Wet-Rated Downlights At Garage And Garage Storage [Not Specified]</t>
  </si>
  <si>
    <t>Source: A0.11 02, 02/A1.21  |  Pricing section: Garage  |  TAKEOFF: included in priced line 265113-2</t>
  </si>
  <si>
    <t>F/I Porcelain Socket Fixtures With Bulbs In Unfinished Basement [BULBS W/PORCELAIN SOCKETS IN UNFINISHED BASEMENTS BY GC, TYP.]</t>
  </si>
  <si>
    <t>Source: A1.20  |  Pricing section: House  |  TAKEOFF: 6.00 EA -- F/I Bulbs W/ Porcelain Sockets = $1,800.00 (row 180)</t>
  </si>
  <si>
    <t>F/O L8 Linear Ceiling Lights Flush Into Cedar Ceilings, Lengths Confirmed By GC [WAC INVISILED PRO2+ LED-TC24-30-90-X-WT ANGLED RECESSED CHANNEL, WITH FROSTED DIFFUSER]</t>
  </si>
  <si>
    <t>Source: A0.11 02, A1.21  |  Pricing section: House</t>
  </si>
  <si>
    <t>I/O L8 Linear Ceiling Lights [Not Specified]</t>
  </si>
  <si>
    <t>F/O L12B Interior Step Lights Outside Modules [WAC WL-LED200-C-BK]</t>
  </si>
  <si>
    <t>Source: A0.11 02  |  Pricing section: House  |  TAKEOFF: 4.00 EA -- F/I L12B- Step Light = $2,000.00 (row 4)</t>
  </si>
  <si>
    <t>I/O L12B Interior Step Lights Outside Modules [Not Specified]</t>
  </si>
  <si>
    <t>Source: A0.11 02  |  Pricing section: House  |  TAKEOFF: included in priced line 265113-7</t>
  </si>
  <si>
    <t>I/O Factory-Supplied L12BB Step Lights On Black Steel Wall After Steel Install [WAC WL-LED200-C-BK BLACK]</t>
  </si>
  <si>
    <t>Source: A0.11 02  |  Pricing section: House</t>
  </si>
  <si>
    <t>F/O L19 Bedside Reading Lamps (Guest) With Integral Switch [TBD]</t>
  </si>
  <si>
    <t>Source: A0.11 02, SUPP Sec. 6.11  |  Pricing section: House</t>
  </si>
  <si>
    <t>I/O L19 Bedside Reading Lamps [Not Specified]</t>
  </si>
  <si>
    <t>F/O L20 Dining Pendants [TBD]</t>
  </si>
  <si>
    <t>Source: A0.11 02, A1.21, SUPP Sec. 6.11  |  Pricing section: House</t>
  </si>
  <si>
    <t>I/O L20 Dining Pendants [Not Specified]</t>
  </si>
  <si>
    <t>Source: A0.11 02, A1.21  |  Pricing section: House  |  TAKEOFF: 5.00 EA -- I/O L20- Dinning Pendant = $1,500.00 (row 179)</t>
  </si>
  <si>
    <t>F/O L21 Primary Bedroom Pendants [TBD]</t>
  </si>
  <si>
    <t>Source: A0.11 02, A1.22, 06/A4.03, SUPP Sec. 6.11  |  Pricing section: House</t>
  </si>
  <si>
    <t>I/O L21 Primary Bedroom Pendants [Not Specified]</t>
  </si>
  <si>
    <t>Source: A0.11 02, A1.22, 06/A4.03  |  Pricing section: House</t>
  </si>
  <si>
    <t>I/O Factory-Supplied Lights In Foyer Millwork Sleeve [SPEC'D LIGHTS IN SLEEVE SHIPPED LOOSE BY FACTORY, INSTALLED BY GC]</t>
  </si>
  <si>
    <t>F/I All Light Bulbs [ALL LIGHT BULBS TO BE PROVIDED BY GC.]</t>
  </si>
  <si>
    <t>Source: A0.11 Lighting Gen. Note 03  |  Pricing section: House</t>
  </si>
  <si>
    <t>F/I Remote Transformers For Lighting, Accessible, Locations Coordinated In Field [Not Specified]</t>
  </si>
  <si>
    <t>Source: A1.20 Lighting Note 04  |  Pricing section: House</t>
  </si>
  <si>
    <t>F/O L4 Exterior Downlights At Terraces, Decks And Stucco Soffits [JUNO MD1LG2-RD-03LM-27K-90CRI-FL-BL BLACK]</t>
  </si>
  <si>
    <t>Source: A0.11 02, A1.20-A1.22  |  Pricing section: House  |  TAKEOFF: 38.00 EA -- F/O L4 Lighting Fixtures = $19,000.00 (row 6)</t>
  </si>
  <si>
    <t>I/O L4 Exterior Downlights [Not Specified]</t>
  </si>
  <si>
    <t>Source: A0.11 02, A1.20-A1.22  |  Pricing section: House</t>
  </si>
  <si>
    <t>F/O L12A Exterior Step Lights At Stairs, Paths And Roof Deck [WAC 4021-27BK STEP LIGHT, RECTANGLE]</t>
  </si>
  <si>
    <t>Source: A0.11 02, A1.20, A1.21, A1.23  |  Pricing section: House  |  TAKEOFF: 21.00 EA -- F/I L12A- Step Light = $10,500.00 (row 2)</t>
  </si>
  <si>
    <t>I/O L12A Exterior Step Lights [Not Specified]</t>
  </si>
  <si>
    <t>Source: A0.11 02, A1.20, A1.21, A1.23  |  Pricing section: House  |  TAKEOFF: included in priced line 265600-2</t>
  </si>
  <si>
    <t>F/I CH Ceiling Heaters At Outdoor Living With Ceiling Recess Kit [BROMIC 4500W SERIES PLATINUM ELECTRIC BLACK]</t>
  </si>
  <si>
    <t>Source: A0.11 02, A1.21  |  Pricing section: House  |  TAKEOFF: 2.00 EA -- F/I Ceiling Heater [Bromic 4500W Series Platinum Electric] = $8,700.00 (row 192)</t>
  </si>
  <si>
    <t>F/I L6A Millwork Linear Lights [Not Specified]</t>
  </si>
  <si>
    <t>ADDED FROM TAKEOFF (no SOW match): 8.00 EA -- F/I L6A- Millwork Linear Light = $4,000.00 (row 3)</t>
  </si>
  <si>
    <t>F/I Duplex and Quad Receptacles Outside Modules [Not Specified]</t>
  </si>
  <si>
    <t>ADDED FROM TAKEOFF (no SOW match): 38.00 EA -- Duplex Receptacle, 20A = $3,990.00 (row 184); 1.00 EA -- Quad Receptacle 20A = $66.96 (row 189)</t>
  </si>
  <si>
    <t>F/I Spill-Proof Pop-Up Outlets [Not Specified]</t>
  </si>
  <si>
    <t>ADDED FROM TAKEOFF (no SOW match): 2.00 EA -- F/I Spill Proof Pop Up Outlet = $700.00 (row 186)</t>
  </si>
  <si>
    <t>F/I Garage Door Opener Wall Switch [Not Specified]</t>
  </si>
  <si>
    <t>ADDED FROM TAKEOFF (no SOW match): 1.00 EA -- F/I Garage Door Switch = $250.00 (row 181)</t>
  </si>
  <si>
    <t>Solar, Battery &amp; Generator</t>
  </si>
  <si>
    <t>F/I Rooftop Solar Panels And Associated Equipment, Fully Ballasted For Flat Roofs [PANEL CLAW POLAR BEAR III OR EQUAL]</t>
  </si>
  <si>
    <t>Source: A0.10, A1.13, SUPP Sec. 7.7  |  Pricing section: Alternate #7</t>
  </si>
  <si>
    <t>F/I Whole-House Generator [Not Specified]</t>
  </si>
  <si>
    <t>Source: SUPP Sec. 7.9  |  Pricing section: Alternate #9</t>
  </si>
  <si>
    <t>F/I Solar Battery Backup System [Not Specified]</t>
  </si>
  <si>
    <t>Source: SUPP Sec. 7.8  |  Pricing section: Alternate #8</t>
  </si>
  <si>
    <t>Remove Trees, Stumps And Obstructions From Around House Location And New Driveway As Required (Clear And Grub) [Not Specified]</t>
  </si>
  <si>
    <t>Source: A0.10, C-5 Phase 1A  |  Pricing section: Site</t>
  </si>
  <si>
    <t>F/I Tree Protection At Trees Noted To Remain [PROPOSED TREE PROTECTION]</t>
  </si>
  <si>
    <t>Source: C-3, C-5 Phase 1A  |  Pricing section: Site</t>
  </si>
  <si>
    <t>Strip Topsoil And Surface Gravel From Building Area Extending 10 Ft Beyond New Construction Limits Where Practical [Not Specified]</t>
  </si>
  <si>
    <t>Source: GEO p.7  |  Pricing section: Site</t>
  </si>
  <si>
    <t>Provide Selective Vegetation Removal For Silt Fence Installation [Not Specified]</t>
  </si>
  <si>
    <t>Source: C-5 Phase 1A  |  Pricing section: Site</t>
  </si>
  <si>
    <t>F/I Temporary Silt Fence Down Slope Of All Disturbed Areas [INSTALL TEMPORARY SILT FENCE DOWN SLOPE OF ALL DISTURBED AREAS (TYP.)]</t>
  </si>
  <si>
    <t>Source: A0.10, C-3  |  Pricing section: Site  |  TAKEOFF: 835.56 LF -- F/I Erosion Control, Silt Fence &amp; Maintain Throughout Job Duration = $5,848.92 (row 199)</t>
  </si>
  <si>
    <t>F/I Temporary Fiber Erosion Control Rolls Across Slope With 2" X 2" X 3' Hardwood Posts [FIBER ROLL]</t>
  </si>
  <si>
    <t>Source: C-3, C-4  |  Pricing section: Site  |  TAKEOFF: 671.85 LF -- F/I Fiber Erosion Control Roll = $5,710.73 (row 200)</t>
  </si>
  <si>
    <t>F/I Temporary Slope Stabilization Matting On All Disturbed Slopes Of 3:1 Or Greater [PYRAMAT HIGH PERFORMANCE TURF REINFORCEMENT MAT (HPTRM), AS MANUFACTURED BY GEOSOLUTIONS, INC., OR APPROVED EQUAL]</t>
  </si>
  <si>
    <t>Source: C-3, C-4  |  Pricing section: Site  |  TAKEOFF: 12,156.94 SF -- F/I Temporary Slope Stabilization Matting = $60,784.70 (row 198)</t>
  </si>
  <si>
    <t>F/I Temporary Construction Fence Around Proposed Infiltration System Areas [48" HIGH DENISTY ORANGE POLYETHYLENE SAFETY FENCE]</t>
  </si>
  <si>
    <t>Source: C-3, C-4, C-5 Phase 1A  |  Pricing section: Site</t>
  </si>
  <si>
    <t>F/I Project Limiting Fence And Haybales As Required By Local Municipality [Not Specified]</t>
  </si>
  <si>
    <t>Source: A0.10  |  Pricing section: Site  |  TAKEOFF: 963.63 LF -- Provide Temporary Construction Fence = $6,745.41 (row 197)</t>
  </si>
  <si>
    <t>F/I Stabilized Construction Entrance [3 in. CLEAN STONE]</t>
  </si>
  <si>
    <t>Source: C-3, C-4  |  Pricing section: Site  |  TAKEOFF: 1.00 EA -- Temporary Construction Entrance(s) = $5,000.00 (row 202)</t>
  </si>
  <si>
    <t>F/I Temporary Inlet Protection At Existing And Proposed Drain Inlets [STONE &amp; BLOCK DROP INLET PROTECTION]</t>
  </si>
  <si>
    <t>Source: C-3, C-4  |  Pricing section: Site  |  TAKEOFF: 2.00 EA -- Provide Inlet Protection = $600.00 (row 201)</t>
  </si>
  <si>
    <t>Provide Temporary Soil Stockpile Areas With Silt Fence And Stabilization [Not Specified]</t>
  </si>
  <si>
    <t>Source: C-3, C-4  |  Pricing section: Site</t>
  </si>
  <si>
    <t>F/I Concrete Truck Washout Area Prior To Concrete Placement [10 MIL POLYETHYLENE SHEETING]</t>
  </si>
  <si>
    <t>Source: C-3, C-4  |  Pricing section: Site  |  TAKEOFF: 261.76 SF -- F/I Concrete Truck Washout = $3,926.40 (row 203)</t>
  </si>
  <si>
    <t>Provide Daily Sweeping Of Existing Roadway For Duration Of Construction [Not Specified]</t>
  </si>
  <si>
    <t>Source: C-3, C-5  |  Pricing section: Site</t>
  </si>
  <si>
    <t>Provide Dust Control By Sprinkling [Not Specified]</t>
  </si>
  <si>
    <t>Source: Narrative p.11  |  Pricing section: Site</t>
  </si>
  <si>
    <t>Provide Silt Fence Surrounding Dumpsters And Portable Sanitary Units And Tarp All Dump Trucks Hauling From Site [Not Specified]</t>
  </si>
  <si>
    <t>Source: C-5  |  Pricing section: Site</t>
  </si>
  <si>
    <t>Provide Erosion Control Inspection And Maintenance Every Two Weeks And Before And After Every 1/2" Or Greater Rainfall Event [Not Specified]</t>
  </si>
  <si>
    <t>Source: C-2, C-5  |  Pricing section: Site</t>
  </si>
  <si>
    <t>Provide Temporary Stabilization Of Disturbed Areas With Topsoil, Seed And Hay When No Disturbance Planned Within 14 Days [Not Specified]</t>
  </si>
  <si>
    <t>Source: C-3 Site Note 3, C-5 Phase 1A  |  Pricing section: Site</t>
  </si>
  <si>
    <t>Remove All Temporary Erosion And Sediment Control Measures After 80% Site Stabilization [Not Specified]</t>
  </si>
  <si>
    <t>Source: C-2, C-3 Site Note 11, C-5 Phase 1B  |  Pricing section: Site</t>
  </si>
  <si>
    <t>Excavate As Required For New Areas Of Foundation Per Engineering And Civil Drawings [Not Specified]</t>
  </si>
  <si>
    <t>Source: A0.10, C-5 Phase 1B  |  Pricing section: Foundation</t>
  </si>
  <si>
    <t>Excavate Cuts Up To Approximately 8 Ft Where Basement Extends Beyond Existing House Footprint [Not Specified]</t>
  </si>
  <si>
    <t>Source: GEO p.2  |  Pricing section: Foundation</t>
  </si>
  <si>
    <t>Remove Existing Fill Below Basement Subgrade Within Building Area Down To Virgin Soil And Replace With Structural Fill [EXISTING FILL IS NOT SUITABLE]</t>
  </si>
  <si>
    <t>Source: GEO p.6-7  |  Pricing section: Foundation</t>
  </si>
  <si>
    <t>Segregate Reusable Soil From Debris And Topsoil And Stockpile Reusable Fill Covered With Tarps [Not Specified]</t>
  </si>
  <si>
    <t>Source: GEO p.7  |  Pricing section: Foundation</t>
  </si>
  <si>
    <t>Proofroll Exposed Virgin Subgrade With Minimum Five Passes Of Large Vibratory Drum Roller [DYNAPAC CA 250 OR EQUIVALENT]</t>
  </si>
  <si>
    <t>Source: GEO p.8  |  Pricing section: Foundation</t>
  </si>
  <si>
    <t>F/I Structural Fill In Max 1 Ft Lifts Compacted To 95% Below Foundations And 92% Below Slabs [ASTM D1557]</t>
  </si>
  <si>
    <t>Source: GEO p.8, Table 9  |  Pricing section: Foundation</t>
  </si>
  <si>
    <t>F/I Foundation Wall Backfill With Clean Crushed Stone Or Imported Sand And Gravel, Top 2 Ft Low-Permeability Soil [Not Specified]</t>
  </si>
  <si>
    <t>Source: GEO p.11-12  |  Pricing section: Foundation</t>
  </si>
  <si>
    <t>Provide Localized Excavation, Backfill And Grading Immediately Surrounding New House, Garage And Foundations [Not Specified]</t>
  </si>
  <si>
    <t>Source: SUPP Sec. 6.1  |  Pricing section: Site</t>
  </si>
  <si>
    <t>Slope Earth Away From Foundation 5% Minimum [SLOPE EARTH AWAY FROM FOUNDATION, 5% MIN.]</t>
  </si>
  <si>
    <t>Source: A1.10 02  |  Pricing section: Site</t>
  </si>
  <si>
    <t>Excavate And Backfill Utility Trenches Compacted To 92% [ASTM D1557]</t>
  </si>
  <si>
    <t>Source: GEO p.16, Table 9  |  Pricing section: Site</t>
  </si>
  <si>
    <t>Excavate And Backfill For Utilities Recessed Below Grade (Electrical, Telephone, Cable, Gas, Sewer, Internet) [Not Specified]</t>
  </si>
  <si>
    <t>Provide Dewatering, Sumps And Pumps As Required During Excavation [Not Specified]</t>
  </si>
  <si>
    <t>Source: GEO p.4, p.16-17, Narrative p.14  |  Pricing section: Foundation</t>
  </si>
  <si>
    <t>Remove And Legally Dispose Of Excess Cut Off-Site And Provide Certified Clean Imported Soil [Not Specified]</t>
  </si>
  <si>
    <t>Source: C-3 Site Notes 7-8  |  Pricing section: Site</t>
  </si>
  <si>
    <t>Provide Rough Grading And Structural Fill From Elevation 52.5' (Top-Of-Slope) Up To Street Including House, Driveway And Landscape Areas [Not Specified]</t>
  </si>
  <si>
    <t>Source: A0.10, SUPP Sec. 7.2, C-2  |  Pricing section: Alternate #2</t>
  </si>
  <si>
    <t>F/I 15-Mil Vapor Barrier Under Basement Slab</t>
  </si>
  <si>
    <t>Confirmed rate (Matt 2026-09-23) $0.85/SF: basement slab 1,241.3 SF + 10% laps (takeoff P7.5). Called out in basement slab spec (A1.10 dtl 02).</t>
  </si>
  <si>
    <t>Provide Temporary Excavation Support (Trench Boxes, Sheeting And Shoring) Where Required, Designed By NYS Licensed P.E. [TABLE 8 - TEMPORARY EXCAVATION AND SHORING DESIGN PARAMETERS]</t>
  </si>
  <si>
    <t>Source: GEO p.16-17  |  Pricing section: Foundation</t>
  </si>
  <si>
    <t>F/I Helical Piles At Deck Footings And Two Columns Adjacent To Living Room [ALLOWABLE COMPRESSION CAPACITY 10 TONS; 3.5 INCH O.D. X 0.30 INCH WALL THICKNESS; TRIPLE HELIX: 8-INCH, 10-INCH, 12-INCH; MINIMUM PILE DEPTH 25 FEET; MINIMUM INSTALLATION TORQUE 7,150 FOOT-POUNDS]</t>
  </si>
  <si>
    <t>Source: GEO p.9-10, Fig. 2  |  Pricing section: Decks  |  TAKEOFF: 8.00 EA -- F/I Pile = $12,000.00 (row 71)</t>
  </si>
  <si>
    <t>Provide Installation And Testing Per Section 1812 NYS Building Code [Not Specified]</t>
  </si>
  <si>
    <t>Source: GEO p.10  |  Pricing section: Decks  |  TAKEOFF: included in priced line 316615-0</t>
  </si>
  <si>
    <t>F/I New Cobblestone Driveway / Auto Court [NEW DRIVEWAY: COBBLESTONE, DETAILS TBD (PER LANDSCAPE ARCHITECT DWGS)]</t>
  </si>
  <si>
    <t>Source: A0.10, SUPP Sec. 6.2  |  Pricing section: Hardscape  |  TAKEOFF: 3,359.29 SF -- Asphalt Paving [4" Subbase NYSDOT Item 304,12 Type 2, 2" Top Course NYSDOT Item 403.178202 Type 6] = $19,147.95 (row 205)</t>
  </si>
  <si>
    <t>F/I Driveway Subbase [4" SUBBASE COURSE- N.Y.S.D.O.T. ITEM, 304.12, TYPE 2]</t>
  </si>
  <si>
    <t>Source: C-4  |  Pricing section: Hardscape  |  TAKEOFF: included in priced line 321400-0</t>
  </si>
  <si>
    <t>F/I Belgian Block Curb At Driveway [PROPOSED BELGIAN BLOCK CURB]</t>
  </si>
  <si>
    <t>Source: C-2  |  Pricing section: Hardscape</t>
  </si>
  <si>
    <t>F/I Porcelain Terrace Pavers On Slab Including Cuts, Waste, Edge Conditions And Transitions, Wrapping Stair Treads And Risers From Terrace To Grade [NT PAVERS - DARK GREY PORCELAIN PAVERS 24X48]</t>
  </si>
  <si>
    <t>Source: SUPP Sec. 6.7, A1.41  |  Pricing section: Hardscape  |  TAKEOFF: 1,739.26 SF -- F/I Pavers = $60,874.10 (row 204)</t>
  </si>
  <si>
    <t>F/I Terrace Drains As Required [Not Specified]</t>
  </si>
  <si>
    <t>Source: SUPP Sec. 6.8  |  Pricing section: Hardscape</t>
  </si>
  <si>
    <t>F/I Exterior Stairs From Terrace And Garage Storage To Grade [Not Specified]</t>
  </si>
  <si>
    <t>Source: A1.11  |  Pricing section: Hardscape  |  DRAWING TAKEOFF (E26040_Concrete-Takeoff_v2): North terrace stair 5.99 CY @ $1,200/CY = $7,192.94 [P13.1]; SW terrace stair 2.44 CY @ $1,200/CY = $2,926.93 [P14.1]; Stair frost footings / toe walls 2.43 CY @ $750/CY = $1,820.15 [P15.1]</t>
  </si>
  <si>
    <t>F/I Poured Concrete Retaining / Landscape Walls Per Structural Drawings Including Auto Court Wall And Terrace Walls [PARGED POURED-CONCRETE RETAINING WALLS WITH PRECAST CONCRETE COPING]</t>
  </si>
  <si>
    <t>Source: A1.10-A1.12 Keynote 2, SUPP Sec. 6.4, A0.02  |  Pricing section: Hardscape  |  DRAWING TAKEOFF (E26040_Concrete-Takeoff_v2): Terrace retaining walls 10" x 6'-3" 20.74 CY @ $660/CY = $13,687.55 [P4.2]; Retaining footings 30"x12" 9.95 CY @ $540/CY = $5,375.48 [P12.1]</t>
  </si>
  <si>
    <t>Parge All Exposed Retaining Walls [ALL EXPOSED CONCRETE FOUNDATION &amp; RETAINING WALLS TO BE PARGED U.O.N. - BY GC.]</t>
  </si>
  <si>
    <t>Source: A2.00 Gen. Note 05  |  Pricing section: Hardscape</t>
  </si>
  <si>
    <t>F/I Precast Concrete Coping At Retaining Walls [Not Specified]</t>
  </si>
  <si>
    <t>Source: SUPP Sec. 6.4  |  Pricing section: Hardscape</t>
  </si>
  <si>
    <t>Provide Reconnection, Modification And Extension Of Existing Public Water Service To New Residence [Not Specified]</t>
  </si>
  <si>
    <t>Source: SUPP Sec. 2, A0.10, C-5 Phase 1B  |  Pricing section: Site</t>
  </si>
  <si>
    <t>Provide Reconnection And Extension Of Sanitary Sewer Service With Cleanouts [ALL SANITARY SEWER SERVICES TO BE 4" dia SCH. 40 @ 1.0% MINIMUM]</t>
  </si>
  <si>
    <t>Source: SUPP Sec. 2, C-4, C-5 Phase 1B  |  Pricing section: Site</t>
  </si>
  <si>
    <t>F/I Subsurface Infiltration System With 12" Crushed Stone All Sides, Geotextile And Isolation Row [THIRTY (30) CULTEC RECHARGER 330XLHD STORM WATER CHAMBERS SURROUNDED W/ 12" CRUSHED STONE ON ALL SIDES]</t>
  </si>
  <si>
    <t>Source: C-2, C-4, SUPP Sec. 7.3  |  Pricing section: Alternate #3  |  TAKEOFF: 30.00 EA -- F/I Cultec Recharger 330XLHD = $51,000.00 (row 211); 146.87 SF -- F/I 12" Crushed Stone = $1,174.96 (row 212)</t>
  </si>
  <si>
    <t>F/I Inspection Ports At Chambers [6" SCH. 40 PVC OR SDR-35 PVC PIPE RISER]</t>
  </si>
  <si>
    <t>Source: C-4  |  Pricing section: Alternate #3</t>
  </si>
  <si>
    <t>F/I Precast Drain Inlets With Solid Covers At CULTEC System [PROPOSED 36"X36" PRECAST DRAIN INLET WITH SOLID COVER]</t>
  </si>
  <si>
    <t>Source: C-2, C-4  |  Pricing section: Alternate #3  |  TAKEOFF: included in priced line 334000-3</t>
  </si>
  <si>
    <t>F/I Precast Drain Inlets At Driveway And North Of House [PROPOSED 24"X24" PRECAST DRAIN INLET; PROPOSED 18"X18" PRECAST DRAIN INLET; HEAVY DUTY CAST IRON CAMPBELL GRATE]</t>
  </si>
  <si>
    <t>Source: C-2, C-4  |  Pricing section: Alternate #3  |  TAKEOFF: 3.00 EA -- F/I 24"x24" Drainage Inlet Precast = $7,500.00 (row 206); 2.00 EA -- F/I 36"x36" Drainage Inlet Precast = $6,000.00 (row 207); 1.00 EA -- F/I 18"x18" Drainage Inlet Precast = $2,000.00 (row 208)</t>
  </si>
  <si>
    <t>F/I Precast Concrete Doghouse Manhole [PROPOSED PRECAST CONCRETE DOGHOUSE MANHOLE RIM=59.44+/- INV.=TBD]</t>
  </si>
  <si>
    <t>Source: C-2  |  Pricing section: Alternate #3  |  TAKEOFF: 1.00 EA -- F/I Precast Concrete Doghouse Manhole = $6,000.00 (row 210)</t>
  </si>
  <si>
    <t>F/I HDPE Storm Piping And Connect All Roof Leaders To CULTEC System [6" HDPE (N-12) PIPE @ 1.0% (MIN.); 8" dia HDPE; 12" dia HDPE]</t>
  </si>
  <si>
    <t>Source: C-2, C-5  |  Pricing section: Alternate #3  |  TAKEOFF: 557.98 LF -- F/I Storm Drain Pipe, 6" HDPE = $13,949.50 (row 209)</t>
  </si>
  <si>
    <t>Provide Plugs At All Infiltration System Connections Until Site Is Stabilized, Then Remove Plugs [Not Specified]</t>
  </si>
  <si>
    <t>Source: C-2, C-3, C-5  |  Pricing section: Alternate #3</t>
  </si>
  <si>
    <t>Provide Design Engineer Site Inspection 72 Hours Prior To Backfilling Infiltration System [Not Specified]</t>
  </si>
  <si>
    <t>Source: C-2 Boxed Note  |  Pricing section: Alternate #3</t>
  </si>
  <si>
    <t>Provide Trench Bedding For Storm Piping [TRENCH BEDDING]</t>
  </si>
  <si>
    <t>Source: C-5 Detail  |  Pricing section: Alternate #3</t>
  </si>
  <si>
    <t>GRAND TOTAL -- BASE BID + ALL ALTERNATES</t>
  </si>
  <si>
    <t>[Low Voltage, AV &amp; Security] F/I Aftermarket Security System Coordinated With Owner (Allowance)</t>
  </si>
  <si>
    <t>Fabricate And Install Modular Portion Of HVAC System In Factory (Allowance)</t>
  </si>
  <si>
    <t>F/I Air Handlers AHU #1 (Basement) And AHU #3 (Allowance)</t>
  </si>
  <si>
    <t>F/I Small-Duct High-Velocity Supply And Return Distribution With Round, Linear Slot And Linear Bar Grilles</t>
  </si>
  <si>
    <t>F/I Accommodations For Future Laundry &amp; Bath Exhaust</t>
  </si>
  <si>
    <t>F/I Overflow Scuppers, Custom Depth, With Roof-Side Flanges [OVERFLOW-MAJESTIC WATER SPOUTS EATON 2"X8" RECTANGULAR SCUPPER CUSTOM DEPTH (+/-11" V.I.F. BASED ON FINAL ASSEMBLY) - STAINLESS STEEL (OR APPR'D EQ)]  (Allowance)</t>
  </si>
  <si>
    <t xml:space="preserve">F/I Sump Pits And Pumps At Below-Grade Level [SUMPS AND PUMPS ARE RECOMMENDED FOR ALL BELOW GRADE LEVELS.]  (Allowance) </t>
  </si>
  <si>
    <t>F/I Site-Built Interior Stair, Basement To 1ST Floor [Not Specified]  (House)  -- Ref: A0.00, A0.10, 01/A2.20</t>
  </si>
  <si>
    <t>F/I Steel Center Stringer For Stairs From 1st To 2nd Floor  -- Ref: Cost Detail (Almost Complete), added 2026-09-29</t>
  </si>
  <si>
    <t>TOTAL -- BASE BID + ALL ALTERNATES</t>
  </si>
  <si>
    <t>Aqua Works</t>
  </si>
  <si>
    <t>ABCO</t>
  </si>
  <si>
    <t>Glass Guardrails</t>
  </si>
  <si>
    <t>Horizontal Stainless-Steel Cable Railing With Minimal Posts And Top Rails [Not Specified]  -- Ref: SUPP Sec. 7.4</t>
  </si>
  <si>
    <t>ALTERNATE 13</t>
  </si>
  <si>
    <t>F/I Removable Custom Steel Valance At Roller Shades With Recessed Magnets Epoxied Into Head Trim [1/8" THK. STEEL PLATE WELDED TO 1-1/2" X 1-1/2" X 1/8" STEEL ANGLE, POWDER COATED WHITE; 1/2" DIA. X 3/8" THK. NEODYMIUM RARE EARTH DISC MAGNET N42 (PART NO. D86) FROM KJMAGNETICS.COM]  -- Ref: 04/A0.23</t>
  </si>
  <si>
    <t>Jilco</t>
  </si>
  <si>
    <t xml:space="preserve">F/O Windows (Outside Modules), Site-Mulled Units [MARVIN ESSENTIAL COLLECTION EXTERIOR FINISH: EBONY INTERIOR FINISH: STONE WHITE]  </t>
  </si>
  <si>
    <t>Luigi</t>
  </si>
  <si>
    <t>SUQUI</t>
  </si>
  <si>
    <t>Albano</t>
  </si>
  <si>
    <t>Included</t>
  </si>
  <si>
    <t>Erosion &amp; Sedimentation Controls</t>
  </si>
  <si>
    <t>ls</t>
  </si>
  <si>
    <t>SITEWORK</t>
  </si>
  <si>
    <t>31.10.00, 31.20.00, 31.25.00, 31.50.00, 33.10.00, 33.30.00, 33.40.00</t>
  </si>
  <si>
    <t>Sitework</t>
  </si>
  <si>
    <t>F/I 4" SEALED REINFORCED CONCRETE SLAB PER STRUCT. &amp; STEGO WRAP 15-MIL VAPOR BARRIER PER STRUCT.]  (Foundation)  -- Ref: 04/A0.24, 02/A1.10</t>
  </si>
  <si>
    <t>Concrete Testingt</t>
  </si>
  <si>
    <t>F/I Driveway [4" SUBBASE COURSE- N.Y.S.D.O.T. ITEM, 304.12, TYPE 2 + 2" TOP COURSE]  (Hardscape)  -- Ref: C-4</t>
  </si>
  <si>
    <t>CUSTOM MILLWORK</t>
  </si>
  <si>
    <t>CLOSET INTERIORS (ALLOWANCE)</t>
  </si>
  <si>
    <t>Hard Entered -&gt;</t>
  </si>
  <si>
    <t>Closet Interiors (Allowance)</t>
  </si>
  <si>
    <t>Custom Millwork</t>
  </si>
  <si>
    <t>F/O L20 Dining Pendants [Not Specified]  (House)  -- Ref: A0.11 02, A1.21</t>
  </si>
  <si>
    <t>HVAC (Allowance)</t>
  </si>
  <si>
    <t>HVAC Allowance</t>
  </si>
  <si>
    <t>The $160,000 allowance provided to us to hold for HVAC includes all work pertaining to the HVAC scope of work, with the exception of line-voltage wiring, which is included in our Electrical line item. (SUPP Sec. 6.14)</t>
  </si>
  <si>
    <t>Titan Mech</t>
  </si>
  <si>
    <t>Modular Package</t>
  </si>
  <si>
    <t>Modular Setting</t>
  </si>
  <si>
    <t>Insurance Endorsements Required by MTA</t>
  </si>
  <si>
    <t>ALTERNATE 15 -- ASBESTOS TESTING (IF NEEDED)  |  ADD ALTERNATE</t>
  </si>
  <si>
    <t>02.82.00</t>
  </si>
  <si>
    <t>Provide Asbestos Testing, If Needed [Not Specified]</t>
  </si>
  <si>
    <t>Alternate 15 -- Asbestos Testing (If Needed)</t>
  </si>
  <si>
    <t>SITE DEMOLITION</t>
  </si>
  <si>
    <t>Site Demolition</t>
  </si>
  <si>
    <t>Wire ERV</t>
  </si>
  <si>
    <t>ea</t>
  </si>
  <si>
    <t>Upper roof deck finishes and hot tub are deferred and priced only as Alternate 5. (SUPP Sec. 8.4)</t>
  </si>
  <si>
    <t>Guest bath mirrors, TV and mount, and the Penelope murphy bed are furnished by the Owner. (A4.01, A4.05, A1.30 Note 09, A1.21 Keynote 8)</t>
  </si>
  <si>
    <t>Built-In Planter Assemblies</t>
  </si>
  <si>
    <t>Infiltration System Inspection</t>
  </si>
  <si>
    <t>Terrace Drains</t>
  </si>
  <si>
    <t>Temporary Excavation Support</t>
  </si>
  <si>
    <t>Dewatering</t>
  </si>
  <si>
    <t>Excess Cut and Imported Soil</t>
  </si>
  <si>
    <t>Basis of Pricing</t>
  </si>
  <si>
    <t>Modular Factory and GC Responsibilities</t>
  </si>
  <si>
    <t>Division of responsibility between the modular factory (Signature Building Systems) and the GC follows the General Construction Task Schedule on A0.10 and the SBS Construction Estimate dated 08/14/2026. Any work required to complete the project that is not included in the SBS estimate is GC scope. (SUPP Sec. 4)</t>
  </si>
  <si>
    <t>Governing Codes</t>
  </si>
  <si>
    <t>Work is performed in accordance with the NYS Residential Code, NYS Building Code and Town of Mount Pleasant requirements.</t>
  </si>
  <si>
    <t>Scope Inclusions</t>
  </si>
  <si>
    <t>Alternates</t>
  </si>
  <si>
    <t>Alternates are identified in each line as (Alternate #N) and are priced separately from base scope. Base-scope lines are tagged by the Owner's pricing section: Site, Foundation, House, Garage, Decks, Hardscape. (SUPP Sec. 7)</t>
  </si>
  <si>
    <t>Value Engineering</t>
  </si>
  <si>
    <t>Value-engineering ideas are identified separately from the base budget. No substitutions are included within base pricing. (SUPP Sec. 3)</t>
  </si>
  <si>
    <t>Allowances are carried as directed in SUPP Sec. 6: closet interiors $33,000 (Sec. 6.9); L20 dining and L21 bedroom pendants $400 each and L19 bedside lamps $200 each, material (Sec. 6.11); geothermal SDHV HVAC $160,000 (Sec. 6.14); terrace paver material allowance per SF (Sec. 6.7); custom stair handrail brackets (Sec. 6.10).</t>
  </si>
  <si>
    <t>The HVAC subcontractor fabricates and installs the modular portion of the system at the SBS plant (Moosic, PA) and shows proof of insurance there. Travel by the subcontractor, or use of the factory-area contractor Re4a has used, is to be confirmed. (SBS 6-1, SUPP Sec. 6.14)</t>
  </si>
  <si>
    <t>Foundations, retaining walls, structural steel and connections are based on preliminary redlines. Final structural drawings (referenced as 'STR. ENG. DWGS') are not in the package. (SUPP Sec. 6.3-6.5, S-RL)</t>
  </si>
  <si>
    <t>Full-time geotechnical inspection is required for fill removal, proofrolling, fill placement, foundation excavations, slab subgrade and helical piles. The geotechnical report states the Owner retains the geotechnical engineer; these inspections are not included in our pricing. (GEO p.10, p.19)</t>
  </si>
  <si>
    <t>A NYS P.E. or CPESC must inspect erosion controls before start, every 7 days, and within 24 hours of 0.5" storms, and keep an on-site logbook. Responsibility for retaining the inspector is to be confirmed. (C-5, Narrative p.9)</t>
  </si>
  <si>
    <t>Temporary Erosion Control and Slope Matting</t>
  </si>
  <si>
    <t>A certified as-built of the stormwater system is required before C.O. Responsibility for providing it is to be confirmed. (C-3 Site Note 10)</t>
  </si>
  <si>
    <t>Perc tests have not yet been performed. The CULTEC design assumes 5 in/hr exfiltration; lower field rates could require a redesign of Alternate #3. (Narrative p.5, p.56)</t>
  </si>
  <si>
    <t>Geotech rates the remaining existing retaining wall in the northern portion as potentially unstable. It is not in the MRCE slope stabilization scope and no scope is assigned to it in any document; it is not included in our pricing. (GEO p.15)</t>
  </si>
  <si>
    <t>Proposed slopes of 1.5H:1V to 2.2H:1V behind the retaining wall are called excessively steep by the geotechnical report (maximum 2.5H:1V). Grading revision or stabilization will be required and is not included in our pricing. (GEO p.15)</t>
  </si>
  <si>
    <t>The MRCE procedures include cutting and filling the backyard to proposed grades, which overlaps GC site work and Alternate #2. The split of this work with the slope contractor is to be confirmed. (MRCE SS-001 Proc. 5, 10)</t>
  </si>
  <si>
    <t>Water, sewer, gas and electric service routes and sizes are not shown on the civil drawings. All utilities are to be located in the field before construction. (C-2, C-3 Site Notes 4, 6)</t>
  </si>
  <si>
    <t>Contractor insurance will name Hudson Engineering &amp; Consulting, P.C. as additional insured (ISO CG2010 1185). (C-1 Gen. Note 13)</t>
  </si>
  <si>
    <t>Municipality on Drawings</t>
  </si>
  <si>
    <t>Drawing title blocks read both 'BRIARCLIFF MANOR, NY 10510' and 'MT. PLEASANT, NY 10510'. The zoning table lists the Town of Mount Pleasant. (A0.00, A2.00)</t>
  </si>
  <si>
    <t>Installation of Owner-Furnished Items</t>
  </si>
  <si>
    <t>Installation of the Guest Bath 1, 2 and 3 mirrors and the Penelope murphy bed (Resource Furniture) is not stated on the drawings and is to be confirmed. The factory provides power for the murphy bed. (07/A4.01, 08/A4.05, 12/A4.05, A1.21 RCP Keynote 8)</t>
  </si>
  <si>
    <t>Set Crew Proposal</t>
  </si>
  <si>
    <t>The set crew (erection) proposal is undated and unsigned. It does not state crane size, road closure, permits, set days, mate-line weatherproofing, or whether steel is supplied or erect-only. These items are to be confirmed. (PROP Erection)</t>
  </si>
  <si>
    <t>The appliance vendor proposal (Albano) covers delivery and uncrating only. Installation, panels and handles on panel-ready units, and old appliance disposal are by others. (PROP Appliances)</t>
  </si>
  <si>
    <t>Winter Protection</t>
  </si>
  <si>
    <t>Temporary Heat</t>
  </si>
  <si>
    <t>Snow Removal</t>
  </si>
  <si>
    <t>ALTERNATE 16 -- SURVEYING  |  ADD ALTERNATE</t>
  </si>
  <si>
    <t>01.71.23</t>
  </si>
  <si>
    <t>Provide Surveying [Not Specified]</t>
  </si>
  <si>
    <t>Alternate 16 -- Surveying</t>
  </si>
  <si>
    <t>Eun/Yu Residence · 28 Country Club Lane South · E26040</t>
  </si>
  <si>
    <t>General Requirements, Division 01 · Montana Contracting · Draft, September 30, 2026</t>
  </si>
  <si>
    <t>Legend: blue text is an input you can change. Yellow fill marks the assumptions to confirm first. Black text is a formula. Every total follows the inputs.</t>
  </si>
  <si>
    <t>INPUTS</t>
  </si>
  <si>
    <t>Duration Carried, Weeks</t>
  </si>
  <si>
    <t>Ten to eleven months on site, plus float for winter foundations and the factory slot (E26040 duration note, 9/30/2026).</t>
  </si>
  <si>
    <t>Duration Carried, Months</t>
  </si>
  <si>
    <t>Formula.</t>
  </si>
  <si>
    <t>Superintendent Base Salary, $ per Year</t>
  </si>
  <si>
    <t>Salary.com, Construction Superintendent, New York NY, as of 9/1/2026: median $133,318, 25th to 75th percentile $119,481 to $150,132. Replace with Montana payroll.</t>
  </si>
  <si>
    <t>Project Manager Base Salary, $ per Year</t>
  </si>
  <si>
    <t>Salary.com, Project Manager - Construction, New York NY, as of 9/1/2026: median $136,606, 25th to 75th percentile $126,075 to $150,074. Replace with Montana payroll.</t>
  </si>
  <si>
    <t>Payroll Burden, % of Salary</t>
  </si>
  <si>
    <t>Assumption: FICA, NY unemployment, workers comp, disability and paid family leave, health and retirement. Replace with Montana burden.</t>
  </si>
  <si>
    <t>Superintendent Time</t>
  </si>
  <si>
    <t>Full time (Matt, 9/30/2026).</t>
  </si>
  <si>
    <t>Project Manager Time</t>
  </si>
  <si>
    <t>Half time (Matt, 9/30/2026).</t>
  </si>
  <si>
    <t>Laborer, Loaded $ per Hour</t>
  </si>
  <si>
    <t>Budget rate, Westchester open shop, 09/2026. Assumption.</t>
  </si>
  <si>
    <t>Laborer, Hours per Week</t>
  </si>
  <si>
    <t>One day a week for cleanup, protection and deliveries.</t>
  </si>
  <si>
    <t>Direct Cost of the Work, $</t>
  </si>
  <si>
    <t>Direct total in the presentation: estimate v10 trades rounded to $1,000. The v10 subtotal is $4,132,394. Placeholder until the final estimate.</t>
  </si>
  <si>
    <t>Rate ($)</t>
  </si>
  <si>
    <t>Total ($)</t>
  </si>
  <si>
    <t>01 31 00</t>
  </si>
  <si>
    <t>Project Management and Coordination</t>
  </si>
  <si>
    <t>01 31 13</t>
  </si>
  <si>
    <t>Superintendent, Full Time</t>
  </si>
  <si>
    <t>wk</t>
  </si>
  <si>
    <t>Base salary plus burden, per week. On site every working day from mobilization to the punch list and turnover.</t>
  </si>
  <si>
    <t>Project Manager, Half Time</t>
  </si>
  <si>
    <t>Buyout, submittals, schedule, Signature and Res4 coordination, billing, closeout, O&amp;M manuals and warranties.</t>
  </si>
  <si>
    <t>Superintendent Truck, Fuel, Tolls and Phone</t>
  </si>
  <si>
    <t>mo</t>
  </si>
  <si>
    <t>Truck allocation, fuel, tolls, phone and tablet.</t>
  </si>
  <si>
    <t>01 31 19</t>
  </si>
  <si>
    <t>Project Manager Site Visits and Factory Trips to Moosic, PA</t>
  </si>
  <si>
    <t>Mileage and tolls. Three factory visits: before production, during production and before shipping.</t>
  </si>
  <si>
    <t>Subtotal, Project Management and Coordination</t>
  </si>
  <si>
    <t>01 50 00</t>
  </si>
  <si>
    <t>Temporary Facilities and Controls</t>
  </si>
  <si>
    <t>01 52 13</t>
  </si>
  <si>
    <t>Storage Container, 20 ft, Locked</t>
  </si>
  <si>
    <t>Field storage. No office trailer. The superintendent runs the job from the truck, and from the basement after the set.</t>
  </si>
  <si>
    <t>Storage Container Delivery and Pickup</t>
  </si>
  <si>
    <t>One delivery, one pickup.</t>
  </si>
  <si>
    <t>01 52 19</t>
  </si>
  <si>
    <t>Portable Toilet with Weekly Service</t>
  </si>
  <si>
    <t>Zters 2026 guide: $125 to $275 a month with weekly service. Carried at the top of the range.</t>
  </si>
  <si>
    <t>01 51 36</t>
  </si>
  <si>
    <t>Temporary Water</t>
  </si>
  <si>
    <t>Tap and hose bibb with backflow at the existing service. Temporary power is carried in Electrical.</t>
  </si>
  <si>
    <t>01 51 23</t>
  </si>
  <si>
    <t>Winter Protection at Foundations, January to March</t>
  </si>
  <si>
    <t>Ground-thaw heater and fuel, insulated blankets and tenting at footings and walls, hot water and accelerator on winter pours. Not in estimate v10. It backs the presentation line that cold-weather protection is in the base price.</t>
  </si>
  <si>
    <t>01 56 00</t>
  </si>
  <si>
    <t>Snow Removal and Site Access, January to March</t>
  </si>
  <si>
    <t>Plowing the entrance and staging area for deliveries and concrete trucks.</t>
  </si>
  <si>
    <t>01 56 39</t>
  </si>
  <si>
    <t>Protection of Finished Work</t>
  </si>
  <si>
    <t>Ram Board over the white oak and tile, stair tread covers, counter, glass and corner protection, one re-protect before turnover.</t>
  </si>
  <si>
    <t>01 35 23</t>
  </si>
  <si>
    <t>Site Safety</t>
  </si>
  <si>
    <t>Fall protection at the flat roofs and parapets, fire extinguishers, first aid, signage and the site safety plan.</t>
  </si>
  <si>
    <t>Subtotal, Temporary Facilities and Controls</t>
  </si>
  <si>
    <t>01 71 00</t>
  </si>
  <si>
    <t>Field Engineering</t>
  </si>
  <si>
    <t>01 71 23</t>
  </si>
  <si>
    <t>Survey: Stakeout, Foundation Location Survey and Final As-Built</t>
  </si>
  <si>
    <t>Licensed surveyor. Includes the certified stormwater as-built required before the C.O. (C-3 Site Note 10), if it is ours. Estimate v10 lists it to confirm.</t>
  </si>
  <si>
    <t>Subtotal, Field Engineering</t>
  </si>
  <si>
    <t>01 74 00</t>
  </si>
  <si>
    <t>Cleaning and Waste Management</t>
  </si>
  <si>
    <t>01 74 19</t>
  </si>
  <si>
    <t>Dumpster Hauls, 30 Yard</t>
  </si>
  <si>
    <t>About one a month. Central container for all trades, per the estimate clarifications. $875 carries a 30-yard haul with tonnage, above the $300 to $800 NY range by size (Mr. Cheapee, 11/2025). Existing-house demolition is in Alternate 1. Excess cut is in Earthwork.</t>
  </si>
  <si>
    <t>01 74 13</t>
  </si>
  <si>
    <t>Laborer for Cleanup, Protection and Deliveries</t>
  </si>
  <si>
    <t>hr</t>
  </si>
  <si>
    <t>One day a week for the duration.</t>
  </si>
  <si>
    <t>01 74 23</t>
  </si>
  <si>
    <t>Final Cleaning at Turnover</t>
  </si>
  <si>
    <t>Subtotal, Cleaning and Waste Management</t>
  </si>
  <si>
    <t>Total General Requirements</t>
  </si>
  <si>
    <t>CHECKS</t>
  </si>
  <si>
    <t>Average per Month</t>
  </si>
  <si>
    <t>Percent of Direct Cost</t>
  </si>
  <si>
    <t>The rate to enter for General Conditions if the estimate keeps it as a percentage.</t>
  </si>
  <si>
    <t>Cost of Each Added Month</t>
  </si>
  <si>
    <t>Staff, laborer, truck, container and toilet. Every other line is a lump sum.</t>
  </si>
  <si>
    <t>CARRIED ELSEWHERE IN ESTIMATE v10</t>
  </si>
  <si>
    <t>Temporary Power and Lighting</t>
  </si>
  <si>
    <t>Electrical, 26.05.19, 12 months, $9,000.</t>
  </si>
  <si>
    <t>Set Day: Crane Pad, Stone Access, Road Plates, Police Detail and Road Closure Permit</t>
  </si>
  <si>
    <t>Modular, 13.42.00, site preparation for delivery and setting, $14,500.</t>
  </si>
  <si>
    <t>Crane, Rigging, Set Crew, Temporary Bracing and Roof Protection</t>
  </si>
  <si>
    <t>Modular, 13.42.00, Tony Stein proposal, $19,660.</t>
  </si>
  <si>
    <t>Factory Freight, Third-Party Inspections and NY Seals</t>
  </si>
  <si>
    <t>Modular, 13.42.00, per the Signature estimate of 8/14/2026.</t>
  </si>
  <si>
    <t>HERS Rater Before Production</t>
  </si>
  <si>
    <t>Modular, 13.42.00, $3,500.</t>
  </si>
  <si>
    <t>Erosion Control Inspections, Stabilized Entrance, Road Sweeping and Dust Control</t>
  </si>
  <si>
    <t>Site Clearing and Erosion Control, 31.25.00. Sweeping and dust control run 12 months.</t>
  </si>
  <si>
    <t>Project Limiting Fence and Tree Protection</t>
  </si>
  <si>
    <t>Site Clearing and Erosion Control, 31.25.00 and 31.10.00.</t>
  </si>
  <si>
    <t>Protection of Adjoining Property and Stone Walls, with the Pre-Construction Photo Survey</t>
  </si>
  <si>
    <t>Demolition, 02.41.16.</t>
  </si>
  <si>
    <t>Trade Permits, Trade Testing and Cleanup into the GC Container</t>
  </si>
  <si>
    <t>Every subcontractor, per the estimate clarifications.</t>
  </si>
  <si>
    <t>Principal Oversight</t>
  </si>
  <si>
    <t>In the fee.</t>
  </si>
  <si>
    <t>General Liability Insurance</t>
  </si>
  <si>
    <t>In the Insurance markup.</t>
  </si>
  <si>
    <t>BY OWNER OR NOT CARRIED · CONFIRM IN THE PROPOSAL</t>
  </si>
  <si>
    <t>Building Permit and Municipal Fees</t>
  </si>
  <si>
    <t>Assumed by Owner.</t>
  </si>
  <si>
    <t>Full-Time Geotechnical Inspection and Testing</t>
  </si>
  <si>
    <t>The Carlin-Simpson report has the Owner retain the geotechnical engineer (estimate v10 clarification).</t>
  </si>
  <si>
    <t>Special Inspections Beyond Trade Testing</t>
  </si>
  <si>
    <t>Builder's Risk Insurance</t>
  </si>
  <si>
    <t>Temporary Heat Inside the House</t>
  </si>
  <si>
    <t>Not carried. The schedule finishes in October or November with the geothermal system running.</t>
  </si>
  <si>
    <t>Pre-Construction Services</t>
  </si>
  <si>
    <t>Optional, priced separately.</t>
  </si>
  <si>
    <t>SOURCES</t>
  </si>
  <si>
    <t>Salary.com, Construction Superintendent Salary in New York, NY (as of 9/1/2026): https://www.salary.com/research/salary/listing/construction-superintendent-salary/new-york-ny</t>
  </si>
  <si>
    <t>Salary.com, Project Manager - Construction Salary in New York, NY (as of 9/1/2026): https://www.salary.com/research/salary/benchmark/project-manager-construction-salary/new-york-ny</t>
  </si>
  <si>
    <t>Zters, How Much Does It Cost to Rent a Porta Potty? (2026): https://www.zters.com/blog/explained-how-much-does-it-cost-to-rent-a-porta-potty</t>
  </si>
  <si>
    <t>Mr. Cheapee, dumpster rental cost in NY, $300 to $800 by size (11/2025): https://mrcheapeeinc.com/2025/11/28/how-much-does-a-dumpster-rental-cost-in-ny/</t>
  </si>
  <si>
    <t>E26040 estimate report v10 (9/23/2026), Res4 Supplemental Project Information (9/1/2026), Signature estimate (8/14/2026), Tony Stein erection proposal.</t>
  </si>
  <si>
    <t>[Windows] F/O Laminated Glazing Upgrade At Site-Mulled Marvin Units And Garage French Door (23 Units, Approx. 480 SF Of Glass) [FOR IMPROVED ACOUSTIC PERFORMANCE, GLAZING ON ALL UNITS TO HAVE LAMINATED UPGRADE.]  -- Ref: A0.20 Gen. Note 03</t>
  </si>
  <si>
    <t>[Windows] I/O Additional Labor To Set Heavier Laminated Units, Two-Person Set  -- Ref: A0.20 Gen. Note 03</t>
  </si>
  <si>
    <t>[Windows] Provide Additional Handling And Equipment To Set Laminated Sliding Door #003 (15'-9" X 8'-0 3/4")  -- Ref: A0.20 #003</t>
  </si>
  <si>
    <t>[Windows] Provide Laminated Glazing Upgrade At Factory-Supplied Windows In Modules, Coordinated With SBS (Allowance)  -- Ref: A0.20 Gen. Note 03, SBS 5-2</t>
  </si>
  <si>
    <t>ALTERNATE 17 -- DEDUCT -- CUMARU DECKING IN LIEU OF IPE AT FIRST AND SECOND FLOOR DECKS  |  ADD ALTERNATE (DEDUCT)</t>
  </si>
  <si>
    <t>[Decking] Deduct FL-2 Ipe Decking At First And Second Floor Decks  -- Ref: A0.10 Finish Sch.</t>
  </si>
  <si>
    <t>[Decking] F/I Cumaru Decking In Lieu Of Ipe With Concealed Fasteners At First And Second Floor Decks  -- Ref: A0.10 Finish Sch.</t>
  </si>
  <si>
    <t>ALTERNATE 18 -- DEDUCT -- RED BALAU DECKING IN LIEU OF IPE AT FIRST AND SECOND FLOOR DECKS  |  ADD ALTERNATE (DEDUCT)</t>
  </si>
  <si>
    <t>[Decking] F/I Red Balau Decking In Lieu Of Ipe With Concealed Fasteners At First And Second Floor Decks  -- Ref: A0.10 Finish Sch.</t>
  </si>
  <si>
    <t>Alternate 17 -- Deduct -- Cumaru Decking in Lieu of Ipe</t>
  </si>
  <si>
    <t>Alternate 18 -- Deduct -- Red Balau Decking in Lieu of Ipe</t>
  </si>
  <si>
    <t>Alternate 2 -- Rough Grading and Structural Fill from El. 52.5 Up [TBD]</t>
  </si>
  <si>
    <t>General Conditions Rate, % of Direct</t>
  </si>
  <si>
    <t>Linked to the base bid General Conditions rate (Estimate E517). Deduct alternates 17 and 18 carry 0%.</t>
  </si>
  <si>
    <t>Over (Under) the Carried Rate</t>
  </si>
  <si>
    <t>Landscaping and Final Grading</t>
  </si>
  <si>
    <t>Permit Fees</t>
  </si>
  <si>
    <t>BY OWNER</t>
  </si>
  <si>
    <t>Slope stabilization by MRCE, including any associated excavation, is separately contracted by the Owner and is not included in our price. (SUPP Sec. 2, 8.2)</t>
  </si>
  <si>
    <t>Special Inspections</t>
  </si>
  <si>
    <t>Special inspections required beyond trade testing are provided by the Owner and are not included in our price.</t>
  </si>
  <si>
    <t>Builder's risk insurance is provided by the Owner and is not included in our price.</t>
  </si>
  <si>
    <t>Engineer Fees for Modular</t>
  </si>
  <si>
    <t>Engineering fees for the modular units are paid by the Owner and are not included in our price. The $21,400 engineering fee already paid by the Owner is deducted from the SBS factory cost carried in our budget. (SUPP Sec. 1 Item 02, SBS 19-1)</t>
  </si>
  <si>
    <r>
      <t xml:space="preserve">Remove Existing Fill Below Basement Subgrade Within Building Area Down To Virgin Soil [EXISTING FILL IS NOT SUITABLE]  (Foundation)  -- Ref: GEO p.6-7 </t>
    </r>
    <r>
      <rPr>
        <b/>
        <sz val="10"/>
        <color rgb="FFFF0000"/>
        <rFont val="Calibri"/>
        <family val="2"/>
        <charset val="1"/>
      </rPr>
      <t>Allowance Up To 4 Feet</t>
    </r>
  </si>
  <si>
    <r>
      <t>F/I Structural Fill In Max 1 Ft Lifts Compacted To 95% Below Foundations And 92% Below Slabs [ASTM D1557]  (Foundation)  -- Ref: GEO p.8, Table 9</t>
    </r>
    <r>
      <rPr>
        <b/>
        <sz val="10"/>
        <rFont val="Calibri"/>
        <family val="2"/>
      </rPr>
      <t xml:space="preserve"> </t>
    </r>
    <r>
      <rPr>
        <b/>
        <sz val="10"/>
        <color rgb="FFFF0000"/>
        <rFont val="Calibri"/>
        <family val="2"/>
      </rPr>
      <t>Allowance Up To 4 Feet</t>
    </r>
  </si>
  <si>
    <t>Fill Removal and Structural Fill</t>
  </si>
  <si>
    <t>Removal of existing fill below the basement subgrade and import of structural fill are based on a maximum depth of 4 ft over the 1,400 SF building area (about 207 CY each). Fill depth or area beyond this allowance will be priced as an adjustment. (GEO p.6-8, Table 9)</t>
  </si>
  <si>
    <t>Mike Bergener</t>
  </si>
  <si>
    <t>Verbal</t>
  </si>
  <si>
    <t>[Solar, Battery &amp; Generator] F/O 48 kW Natural Gas Standby Generator With Weather-Protective Enclosure, Battery And Remote Monitoring (Assumed Size; Confirm Against SUPP Sec. 7.9)  -- Ref: SUPP Sec. 7.9</t>
  </si>
  <si>
    <t>26.36.23</t>
  </si>
  <si>
    <t>[Solar, Battery &amp; Generator] F/O 400A Service-Rated Automatic Transfer Switch  -- Ref: SUPP Sec. 7.9</t>
  </si>
  <si>
    <t>[Solar, Battery &amp; Generator] I/O Set Generator And Transfer Switch, Start-Up, Testing And Owner Training  -- Ref: SUPP Sec. 7.9</t>
  </si>
  <si>
    <t>[Solar, Battery &amp; Generator] F/I Concrete Equipment Pad With Compacted Gravel Base  -- Ref: SUPP Sec. 7.9</t>
  </si>
  <si>
    <t>[Solar, Battery &amp; Generator] Provide Trench Excavation, Bedding And Backfill For Gas And Electrical Feeders To Generator  -- Ref: SUPP Sec. 7.9</t>
  </si>
  <si>
    <t>[Solar, Battery &amp; Generator] F/I Natural Gas Piping From Meter To Generator Including Regulator, Shutoff And Pressure Test (Utility Meter Or Service Upgrade By Utility, Excluded)  -- Ref: SUPP Sec. 7.9</t>
  </si>
  <si>
    <t>[Solar, Battery &amp; Generator] Provide Feeder, Control Wiring, Panel Modifications And Grounding From Transfer Switch To Distribution  -- Ref: SUPP Sec. 7.9</t>
  </si>
  <si>
    <t>[Solar, Battery &amp; Generator] F/I Load-Management Controls For Geothermal Heat Pumps And EV Outlets  -- Ref: SUPP Sec. 7.9</t>
  </si>
  <si>
    <t>01.31.00</t>
  </si>
  <si>
    <t>[Glass &amp; Glazing] Provide Low-Voltage Power Supply, Wiring And Controller Integration For Switchable Privacy Film  -- Ref: SUPP Sec. 7.14</t>
  </si>
  <si>
    <t>[Solar, Battery &amp; Generator] F/O Solar Battery Backup Unit, 13.5 kWh (Assumed One Unit; Confirm Against SUPP Sec. 7.8)  -- Ref: SUPP Sec. 7.8</t>
  </si>
  <si>
    <t>[Solar, Battery &amp; Generator] I/O Mount And Connect Battery Backup Unit  -- Ref: SUPP Sec. 7.8</t>
  </si>
  <si>
    <t>[Solar, Battery &amp; Generator] Provide Critical-Loads Subpanel, Gateway And Backup Interface  -- Ref: SUPP Sec. 7.8</t>
  </si>
  <si>
    <t>[Solar, Battery &amp; Generator] Provide Conduit, Wiring, Commissioning And Utility Coordination For Battery System  -- Ref: SUPP Sec. 7.8</t>
  </si>
  <si>
    <t>[Solar, Battery &amp; Generator] F/I Fully Ballasted Racking And Roof Protection Pads Over EPDM  -- Ref: A0.10, A1.13, SUPP Sec. 7.7</t>
  </si>
  <si>
    <t>[Solar, Battery &amp; Generator] I/O Install PV Panels And Racking  -- Ref: SUPP Sec. 7.7</t>
  </si>
  <si>
    <t>[Solar, Battery &amp; Generator] Provide DC And AC Conduit, Wiring, Disconnects, Combiner And Interconnection To Main Panel  -- Ref: SUPP Sec. 7.7</t>
  </si>
  <si>
    <t>01.54.00</t>
  </si>
  <si>
    <t>[Solar, Battery &amp; Generator] Provide Crane Or Hoisting Of Panels And Ballast To Roof  -- Ref: SUPP Sec. 7.7</t>
  </si>
  <si>
    <t>[Solar, Battery &amp; Generator] Provide Commissioning, Monitoring Setup And Utility Inspection Coordination  -- Ref: SUPP Sec. 7.7</t>
  </si>
  <si>
    <t>32.84.00</t>
  </si>
  <si>
    <t>[Roofing &amp; Sheet Metal] Provide Water Supply, Backflow Preventer And Irrigation Controller For Green Roof  -- Ref: SUPP Sec. 7.6</t>
  </si>
  <si>
    <t>[Special Construction] Provide Structural Reinforcement Of Roof Framing At Hot Tub Location  -- Ref: SUPP Sec. 7.5, A1.13</t>
  </si>
  <si>
    <t>[Special Construction] Provide Crane Lift And Set Of Hot Tub To Roof Deck  -- Ref: SUPP Sec. 7.5</t>
  </si>
  <si>
    <t>[Special Construction] Provide Hot Tub Fill And Drain Plumbing And Hose Bib At Roof Deck  -- Ref: SUPP Sec. 7.5</t>
  </si>
  <si>
    <t>[Special Construction] F/I Dedicated 50A GFCI Hot Tub Circuit And Disconnect At Roof Deck  -- Ref: SUPP Sec. 7.5</t>
  </si>
  <si>
    <t>[Demolition] Provide Capping Of Existing Water, Sewer And Gas Services At Demolition (Utility Charges By Others)  -- Ref: C-1, A0.10</t>
  </si>
  <si>
    <t>[Demolition] Provide Backfill, Compaction And Rough Grading Of Demolition Excavation With On-Site Material  -- Ref: C-1, A0.10</t>
  </si>
  <si>
    <t>01.56.00</t>
  </si>
  <si>
    <t>[Demolition] Provide Tree Protection And Erosion Control At Demolition  -- Ref: C-1, C-5</t>
  </si>
  <si>
    <t>Hazardous Material Abatement</t>
  </si>
  <si>
    <t>[Solar, Battery &amp; Generator] Provide Utility Interconnection Application And Coordination  -- Ref: SUPP Sec. 7.7</t>
  </si>
  <si>
    <t>[Solar, Battery &amp; Generator] Provide Gas Utility Coordination  -- Ref: SUPP Sec. 7.9</t>
  </si>
  <si>
    <t>Engineering and Design Services</t>
  </si>
  <si>
    <t>All engineering and design services are by others and are not included in our price, including structural, civil, geotechnical, MEP and energy design, engineer's reviews, testing in support of design, inspections and stamped drawings. This includes structural review of roof framing for the green roof, solar ballast loads and hot tub, and percolation testing for the CULTEC system.</t>
  </si>
  <si>
    <t>[Roofing &amp; Sheet Metal] F/I Green Roof (Pre-Vegetated Trays, Including Soil And Plantings) -- Prices unpriced row 565; Cost Detail alternate "Green Roof &amp; Irrigation"  -- Ref: Cost Detail (Almost Complete), added 2026-09-29</t>
  </si>
  <si>
    <t>[Solar, Battery &amp; Generator] F/O Rooftop PV Panels, Inverters, Optimizers And Monitoring (Assumed About 30 kW; Confirm Against SUPP Sec. 7.7)  -- Ref: A0.10, A1.13, SUPP Sec. 7.7</t>
  </si>
  <si>
    <t>ALTERNATE 19 -- FINAL CLEANING AT TURNOVER  |  ADD ALTERNATE</t>
  </si>
  <si>
    <t>01.74.23</t>
  </si>
  <si>
    <t>Provide Final Cleaning At Turnover, Including Interior Glass, Decks And Garage [PROFESSIONAL CLEAN]</t>
  </si>
  <si>
    <t>Alternate 19 -- Final Cleaning at Turnover</t>
  </si>
  <si>
    <t>Final Cleaning</t>
  </si>
  <si>
    <t>Alternate Pricing Basis</t>
  </si>
  <si>
    <t>Alternate Assumptions (1-9)</t>
  </si>
  <si>
    <t>Alternate Assumptions (10-19)</t>
  </si>
  <si>
    <t>Alt 10: one energy-recovery ventilator. Alt 11: security system is a $12,000 allowance. Alt 12: speaker package, Wi-Fi ($16,000) and TV with soundbar ($5,000) are allowances. Alt 13: 24 roller shades, 8 blackout and ceiling-mounted shades, and 150 LF of steel valance. Alt 14: switchable privacy film at the stair partition, including power supply and controller. Laminated glazing: 23 site-mulled units (about 480 SF of glass) plus a $12,000 allowance for factory-supplied windows in the modules. Alt 15: asbestos testing if needed, lump sum. Alt 16: surveying, lump sum. Alts 17 and 18: Cumaru ($19/SF) or Red Balau ($15/SF) decking in lieu of Ipe over about 2,646 SF at the first and second floor decks, including waste. Alt 19: final cleaning at turnover including interior glass, decks and garage.</t>
  </si>
  <si>
    <t>Moved to Alternate 19 (Final Cleaning at Turnover, $6,000). Not carried in the base.</t>
  </si>
  <si>
    <t>Excavation Support and Dewatering (Excluded, Not Carried)</t>
  </si>
  <si>
    <t>Excluded in the estimate notes. Priced only if required.</t>
  </si>
  <si>
    <t>Rock Excavation</t>
  </si>
  <si>
    <t>Principle &amp; GS Oversight (20% Oversight)</t>
  </si>
  <si>
    <t>Insurance endorsements, additional insured requirements and any other special insurance coverage required by the MTA are not included.</t>
  </si>
  <si>
    <t>Waterproofing membrane and drainage mat at foundation walls 'as required' are not included. Dampproofing per the geotechnical report is included. Waterproofing will be priced separately if required by the engineer. (02/A1.10)</t>
  </si>
  <si>
    <t>Phase II finished basement construction is not included and will be filed under a separate permit. Phase 1 unfinished scope is included. (SUPP Sec. 2, 8.3; A1.10)</t>
  </si>
  <si>
    <t>Built-in planter assemblies at decks and roof deck are not included. (A0.10, A1.13, SUPP Sec. 5)</t>
  </si>
  <si>
    <t>Design engineer site inspection 72 hours prior to backfilling the infiltration system is not included. (C-2 Boxed Note)</t>
  </si>
  <si>
    <t>Terrace drains as required are not included. (SUPP Sec. 6.8)</t>
  </si>
  <si>
    <t>Temporary excavation support (trench boxes, sheeting and shoring) designed by a NYS licensed P.E. is not included. (GEO p.16-17, Table 8)</t>
  </si>
  <si>
    <t>Dewatering, if needed, including sumps, pumps, discharge piping and any related treatment or discharge permits, is not included. (GEO p.4, p.16-17; Narrative p.14)</t>
  </si>
  <si>
    <t>Off-site removal and legal disposal of excess cut, and certified clean imported soil, are not included. (C-3 Site Notes 7-8)</t>
  </si>
  <si>
    <t>Rock excavation, including rock hammering, blasting, ripping and the removal or disposal of rock, boulders and ledge, is not included. Excavation is based on earth only; rock encountered will be priced as an adjustment.</t>
  </si>
  <si>
    <t>Winter protection of the work, including temporary enclosures, tarps, insulated blankets and protection of concrete, masonry and finished work from freezing conditions, is not included.</t>
  </si>
  <si>
    <t>Temporary heat, including heating equipment, fuel and its operation for construction, curing or drying, is not included.</t>
  </si>
  <si>
    <t>Snow and ice removal, including plowing, shoveling, salting and sanding of the site, access roads, work areas, roofs and decks, is not included.</t>
  </si>
  <si>
    <t>Abatement, removal and disposal of asbestos, lead paint and any other hazardous or regulated materials are not included. Testing and evaluation are included only where noted in Alternates 1 and 15.</t>
  </si>
  <si>
    <t>Pricing for each trade includes all labor, material, equipment, hoisting and supervision required for its scope; inspections required by local code; cleanup of its own work into a centralized container; and all testing required per drawing specifications, local code and industry standards. Permit fees are not included (see By Owner: Permit Fees).</t>
  </si>
  <si>
    <t>Phase 1 includes the unfinished slab, weathertight basement windows and door without finished interior trim, temporary walls and door, under-slab plumbing rough-ins for Phase II, current MEP equipment, code lighting/receptacles and life safety. Interior framing, GWB, finished ceilings/flooring, millwork and final electrical are not included, except for temporary separation or current equipment. (SUPP Sec. 2)</t>
  </si>
  <si>
    <t>Landscaping of all kinds is not included. This covers final grading, topsoil, lawns, softscape, plantings, irrigation, landscape lighting, integrated roof/building planters and the planter/trellis under the garage overhang, pending the landscape architect. (SUPP Sec. 8.1)</t>
  </si>
  <si>
    <t>Final cleaning at turnover is not included in the base price and is offered as Alternate 19. Daily cleanup of our work and dumpster service remain included.</t>
  </si>
  <si>
    <t>Permit fees are not included. This covers building permit, plan review, municipal, utility connection and tap fees, and any other governmental or agency fees. Permit fees incurred will be paid by the Owner or billed at cost.</t>
  </si>
  <si>
    <t>Alternates carry the same General Conditions, Fee and Insurance rates as the base bid, except Alternates 17 and 18 (deducts), which carry no General Conditions. Engineering and design, permit fees, and utility company charges are not included in any alternate.</t>
  </si>
  <si>
    <t>GC scope includes temporary fiber erosion control rolls across the slope and temporary slope stabilization matting on disturbed slopes of 3:1 or greater (Estimate Site Clearing &amp; Erosion Control; C-3, C-4). This is separate from and does not include excavation or permanent work for the MRCE slope stabilization system, which is still not included (see By Owner: Slope Stabilization).</t>
  </si>
  <si>
    <t>Alt 1: existing two-story house of about 3,391 SF demolished including foundation; hazardous material evaluation included, abatement not included; demolition excavation backfilled with on-site material; utility charges by others. Alt 2: not priced pending civil quantities. Alt 3: CULTEC system per the civil drawings; design assumes 5 in/hr exfiltration, and percolation testing and design are by others. Alt 4: stainless cable railing at about 348 LF in lieu of glass guardrails. Alt 5: about 890 SF of Ipe on sleepers and an allowance of $30,000 for an 8x8 prefabricated hot tub with Ipe surround, plus roof reinforcement, crane lift, fill and drain plumbing and a 50A circuit; structural design by others. Alt 6: about 2,064 SF of pre-vegetated modular green roof trays including soil and plantings, and about 2,062 SF of irrigation; adequacy of the roof structure by others. Alt 7: ballasted rooftop solar of about 30 kW; structural review, utility charges and incentives not included. Alt 8: one 13.5 kWh battery with a critical-loads subpanel. Alt 9: 48 kW natural gas standby generator with a 400A service-rated transfer switch, 100 LF of gas piping and 100 LF of trench; gas meter or service upgrade by the utility not included.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</si>
</sst>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0"/>
    <numFmt numFmtId="165" formatCode="\$#,##0"/>
    <numFmt numFmtId="166" formatCode="&quot;$&quot;#,##0.00"/>
    <numFmt numFmtId="167" formatCode="0.0"/>
    <numFmt numFmtId="168" formatCode="\$#,##0;&quot;($&quot;#,##0\);\-"/>
    <numFmt numFmtId="169" formatCode="0.0%;\(0.0%\);\-"/>
    <numFmt numFmtId="170" formatCode="\$#,##0.00;&quot;($&quot;#,##0.00\);\-"/>
    <numFmt numFmtId="171" formatCode="#,##0.0;\(#,##0.0\);\-"/>
  </numFmts>
  <fonts count="43" x14ac:knownFonts="1">
    <font>
      <sz val="11"/>
      <color theme="1"/>
      <name val="Calibri"/>
      <family val="2"/>
      <charset val="1"/>
    </font>
    <font>
      <b/>
      <sz val="18"/>
      <name val="Calibri"/>
      <charset val="1"/>
    </font>
    <font>
      <b/>
      <sz val="11"/>
      <name val="Calibri"/>
      <charset val="1"/>
    </font>
    <font>
      <sz val="10"/>
      <name val="Calibri"/>
      <charset val="1"/>
    </font>
    <font>
      <i/>
      <sz val="9"/>
      <color rgb="FF3A3A3A"/>
      <name val="Calibri"/>
      <charset val="1"/>
    </font>
    <font>
      <b/>
      <sz val="9"/>
      <color rgb="FF3A3A3A"/>
      <name val="Calibri"/>
      <charset val="1"/>
    </font>
    <font>
      <b/>
      <sz val="11"/>
      <color rgb="FFFFFFFF"/>
      <name val="Calibri"/>
      <charset val="1"/>
    </font>
    <font>
      <b/>
      <sz val="10"/>
      <name val="Calibri"/>
      <charset val="1"/>
    </font>
    <font>
      <sz val="9"/>
      <color rgb="FF3A3A3A"/>
      <name val="Calibri"/>
      <charset val="1"/>
    </font>
    <font>
      <sz val="10"/>
      <name val="Calibri"/>
      <family val="2"/>
      <charset val="1"/>
    </font>
    <font>
      <b/>
      <sz val="10"/>
      <color rgb="FFFF0000"/>
      <name val="Calibri"/>
      <family val="2"/>
      <charset val="1"/>
    </font>
    <font>
      <b/>
      <sz val="12"/>
      <name val="Calibri"/>
      <charset val="1"/>
    </font>
    <font>
      <b/>
      <sz val="12"/>
      <color rgb="FFFFFFFF"/>
      <name val="Calibri"/>
      <charset val="1"/>
    </font>
    <font>
      <sz val="10"/>
      <name val="Arial"/>
      <family val="2"/>
    </font>
    <font>
      <b/>
      <sz val="12"/>
      <name val="Cambria"/>
      <charset val="1"/>
    </font>
    <font>
      <b/>
      <sz val="11"/>
      <color rgb="FFFFFFFF"/>
      <name val="Cambria"/>
      <charset val="1"/>
    </font>
    <font>
      <b/>
      <sz val="11"/>
      <name val="Cambria"/>
      <charset val="1"/>
    </font>
    <font>
      <b/>
      <sz val="16"/>
      <name val="Calibri"/>
      <charset val="1"/>
    </font>
    <font>
      <i/>
      <sz val="10"/>
      <name val="Calibri"/>
      <charset val="1"/>
    </font>
    <font>
      <b/>
      <sz val="14"/>
      <name val="Calibri"/>
      <charset val="1"/>
    </font>
    <font>
      <sz val="9"/>
      <name val="Calibri"/>
      <charset val="1"/>
    </font>
    <font>
      <b/>
      <sz val="9"/>
      <color rgb="FFB00000"/>
      <name val="Calibri"/>
      <charset val="1"/>
    </font>
    <font>
      <b/>
      <sz val="12"/>
      <color theme="1"/>
      <name val="Calibri"/>
      <family val="2"/>
      <charset val="1"/>
    </font>
    <font>
      <b/>
      <sz val="11"/>
      <color rgb="FFFFFFFF"/>
      <name val="Calibri"/>
    </font>
    <font>
      <sz val="10"/>
      <name val="Calibri"/>
      <family val="2"/>
    </font>
    <font>
      <b/>
      <sz val="11"/>
      <color rgb="FFFFFFFF"/>
      <name val="Calibri"/>
      <family val="2"/>
    </font>
    <font>
      <b/>
      <sz val="9"/>
      <color rgb="FF3A3A3A"/>
      <name val="Calibri"/>
      <family val="2"/>
    </font>
    <font>
      <sz val="9"/>
      <color indexed="81"/>
      <name val="Tahoma"/>
      <charset val="1"/>
    </font>
    <font>
      <b/>
      <sz val="11"/>
      <color theme="1"/>
      <name val="Calibri"/>
      <family val="2"/>
    </font>
    <font>
      <b/>
      <sz val="10"/>
      <name val="Calibri"/>
      <family val="2"/>
    </font>
    <font>
      <b/>
      <sz val="14"/>
      <name val="Arial"/>
      <family val="2"/>
    </font>
    <font>
      <sz val="11"/>
      <name val="Arial"/>
      <family val="2"/>
    </font>
    <font>
      <i/>
      <sz val="10"/>
      <color rgb="FF5E6470"/>
      <name val="Arial"/>
      <family val="2"/>
    </font>
    <font>
      <b/>
      <sz val="10"/>
      <name val="Arial"/>
      <family val="2"/>
    </font>
    <font>
      <sz val="10"/>
      <color rgb="FF0000FF"/>
      <name val="Arial"/>
      <family val="2"/>
    </font>
    <font>
      <sz val="10"/>
      <color rgb="FF5E6470"/>
      <name val="Arial"/>
      <family val="2"/>
    </font>
    <font>
      <b/>
      <sz val="10"/>
      <color rgb="FFFFFFFF"/>
      <name val="Arial"/>
      <family val="2"/>
    </font>
    <font>
      <b/>
      <sz val="11"/>
      <name val="Arial"/>
      <family val="2"/>
    </font>
    <font>
      <sz val="9"/>
      <color rgb="FF5E6470"/>
      <name val="Arial"/>
      <family val="2"/>
    </font>
    <font>
      <sz val="9"/>
      <color indexed="81"/>
      <name val="Tahoma"/>
      <family val="2"/>
    </font>
    <font>
      <b/>
      <sz val="9"/>
      <color indexed="81"/>
      <name val="Tahoma"/>
      <family val="2"/>
    </font>
    <font>
      <sz val="10"/>
      <color rgb="FF008000"/>
      <name val="Arial"/>
      <family val="2"/>
    </font>
    <font>
      <b/>
      <sz val="10"/>
      <color rgb="FFFF0000"/>
      <name val="Calibri"/>
      <family val="2"/>
    </font>
  </fonts>
  <fills count="28">
    <fill>
      <patternFill patternType="none"/>
    </fill>
    <fill>
      <patternFill patternType="gray125"/>
    </fill>
    <fill>
      <patternFill patternType="solid">
        <fgColor rgb="FFF5F5F5"/>
        <bgColor rgb="FFFFFFFF"/>
      </patternFill>
    </fill>
    <fill>
      <patternFill patternType="solid">
        <fgColor rgb="FFE8E8E8"/>
        <bgColor rgb="FFE4DFEC"/>
      </patternFill>
    </fill>
    <fill>
      <patternFill patternType="solid">
        <fgColor rgb="FF3A3A3A"/>
        <bgColor rgb="FF333300"/>
      </patternFill>
    </fill>
    <fill>
      <patternFill patternType="solid">
        <fgColor rgb="FF7A7A7A"/>
        <bgColor rgb="FF666699"/>
      </patternFill>
    </fill>
    <fill>
      <patternFill patternType="solid">
        <fgColor rgb="FFDDEBF7"/>
        <bgColor rgb="FFE8E8E8"/>
      </patternFill>
    </fill>
    <fill>
      <patternFill patternType="solid">
        <fgColor rgb="FFE2EFDA"/>
        <bgColor rgb="FFD6F0D6"/>
      </patternFill>
    </fill>
    <fill>
      <patternFill patternType="solid">
        <fgColor rgb="FFFFE8C2"/>
        <bgColor rgb="FFFFF6D5"/>
      </patternFill>
    </fill>
    <fill>
      <patternFill patternType="solid">
        <fgColor rgb="FFE4DFEC"/>
        <bgColor rgb="FFE8E8E8"/>
      </patternFill>
    </fill>
    <fill>
      <patternFill patternType="solid">
        <fgColor rgb="FFFFF6D5"/>
        <bgColor rgb="FFF5F5F5"/>
      </patternFill>
    </fill>
    <fill>
      <patternFill patternType="solid">
        <fgColor rgb="FFFFFFFF"/>
        <bgColor rgb="FFF5F5F5"/>
      </patternFill>
    </fill>
    <fill>
      <patternFill patternType="solid">
        <fgColor rgb="FFFFD6D6"/>
        <bgColor rgb="FFFFE8C2"/>
      </patternFill>
    </fill>
    <fill>
      <patternFill patternType="solid">
        <fgColor rgb="FFE8E8E8"/>
        <bgColor indexed="64"/>
      </patternFill>
    </fill>
    <fill>
      <patternFill patternType="solid">
        <fgColor rgb="FFDDEBF7"/>
        <bgColor indexed="64"/>
      </patternFill>
    </fill>
    <fill>
      <patternFill patternType="solid">
        <fgColor rgb="FFC00000"/>
        <bgColor rgb="FFFFFFFF"/>
      </patternFill>
    </fill>
    <fill>
      <patternFill patternType="solid">
        <fgColor theme="0"/>
        <bgColor indexed="64"/>
      </patternFill>
    </fill>
    <fill>
      <patternFill patternType="solid">
        <fgColor rgb="FF7A7A7A"/>
        <bgColor indexed="64"/>
      </patternFill>
    </fill>
    <fill>
      <patternFill patternType="solid">
        <fgColor theme="0"/>
        <bgColor rgb="FFFFFF00"/>
      </patternFill>
    </fill>
    <fill>
      <patternFill patternType="solid">
        <fgColor rgb="FFFFFF00"/>
        <bgColor indexed="64"/>
      </patternFill>
    </fill>
    <fill>
      <patternFill patternType="solid">
        <fgColor rgb="FFFFFF00"/>
        <bgColor rgb="FFFFFFFF"/>
      </patternFill>
    </fill>
    <fill>
      <patternFill patternType="solid">
        <fgColor theme="0" tint="-0.14999847407452621"/>
        <bgColor indexed="64"/>
      </patternFill>
    </fill>
    <fill>
      <patternFill patternType="solid">
        <fgColor rgb="FFFFFF00"/>
        <bgColor rgb="FFD6F0D6"/>
      </patternFill>
    </fill>
    <fill>
      <patternFill patternType="solid">
        <fgColor rgb="FFFFC000"/>
        <bgColor rgb="FFE4DFEC"/>
      </patternFill>
    </fill>
    <fill>
      <patternFill patternType="solid">
        <fgColor rgb="FFFFC000"/>
        <bgColor rgb="FFE8E8E8"/>
      </patternFill>
    </fill>
    <fill>
      <patternFill patternType="solid">
        <fgColor rgb="FFFFFF00"/>
        <bgColor rgb="FFFFFF00"/>
      </patternFill>
    </fill>
    <fill>
      <patternFill patternType="solid">
        <fgColor rgb="FF0F1317"/>
        <bgColor rgb="FF000000"/>
      </patternFill>
    </fill>
    <fill>
      <patternFill patternType="solid">
        <fgColor rgb="FFEDEBE6"/>
        <bgColor rgb="FFFFFFFF"/>
      </patternFill>
    </fill>
  </fills>
  <borders count="64">
    <border>
      <left/>
      <right/>
      <top/>
      <bottom/>
      <diagonal/>
    </border>
    <border>
      <left/>
      <right/>
      <top style="medium">
        <color rgb="FF3A3A3A"/>
      </top>
      <bottom/>
      <diagonal/>
    </border>
    <border>
      <left/>
      <right/>
      <top/>
      <bottom style="medium">
        <color rgb="FF3A3A3A"/>
      </bottom>
      <diagonal/>
    </border>
    <border>
      <left style="medium">
        <color auto="1"/>
      </left>
      <right style="thin">
        <color rgb="FF3A3A3A"/>
      </right>
      <top style="medium">
        <color auto="1"/>
      </top>
      <bottom style="medium">
        <color auto="1"/>
      </bottom>
      <diagonal/>
    </border>
    <border>
      <left style="thin">
        <color rgb="FF3A3A3A"/>
      </left>
      <right style="thin">
        <color rgb="FF3A3A3A"/>
      </right>
      <top style="medium">
        <color auto="1"/>
      </top>
      <bottom style="medium">
        <color auto="1"/>
      </bottom>
      <diagonal/>
    </border>
    <border>
      <left style="thin">
        <color rgb="FF3A3A3A"/>
      </left>
      <right style="medium">
        <color auto="1"/>
      </right>
      <top style="medium">
        <color auto="1"/>
      </top>
      <bottom style="medium">
        <color auto="1"/>
      </bottom>
      <diagonal/>
    </border>
    <border>
      <left style="medium">
        <color rgb="FF3A3A3A"/>
      </left>
      <right style="thin">
        <color rgb="FFB0B0B0"/>
      </right>
      <top style="medium">
        <color rgb="FF3A3A3A"/>
      </top>
      <bottom style="medium">
        <color rgb="FF3A3A3A"/>
      </bottom>
      <diagonal/>
    </border>
    <border>
      <left style="medium">
        <color rgb="FF3A3A3A"/>
      </left>
      <right style="medium">
        <color rgb="FF3A3A3A"/>
      </right>
      <top style="medium">
        <color rgb="FF3A3A3A"/>
      </top>
      <bottom style="thin">
        <color rgb="FFB0B0B0"/>
      </bottom>
      <diagonal/>
    </border>
    <border>
      <left style="medium">
        <color rgb="FF3A3A3A"/>
      </left>
      <right style="thin">
        <color rgb="FFB0B0B0"/>
      </right>
      <top style="medium">
        <color rgb="FF3A3A3A"/>
      </top>
      <bottom style="thin">
        <color rgb="FFB0B0B0"/>
      </bottom>
      <diagonal/>
    </border>
    <border>
      <left style="thin">
        <color rgb="FFB0B0B0"/>
      </left>
      <right style="thin">
        <color rgb="FFB0B0B0"/>
      </right>
      <top style="medium">
        <color rgb="FF3A3A3A"/>
      </top>
      <bottom style="thin">
        <color rgb="FFB0B0B0"/>
      </bottom>
      <diagonal/>
    </border>
    <border>
      <left style="thin">
        <color rgb="FFB0B0B0"/>
      </left>
      <right style="medium">
        <color rgb="FF3A3A3A"/>
      </right>
      <top style="medium">
        <color rgb="FF3A3A3A"/>
      </top>
      <bottom style="thin">
        <color rgb="FFB0B0B0"/>
      </bottom>
      <diagonal/>
    </border>
    <border>
      <left style="medium">
        <color rgb="FF3A3A3A"/>
      </left>
      <right style="medium">
        <color rgb="FF3A3A3A"/>
      </right>
      <top style="thin">
        <color rgb="FFB0B0B0"/>
      </top>
      <bottom style="medium">
        <color rgb="FF3A3A3A"/>
      </bottom>
      <diagonal/>
    </border>
    <border>
      <left style="medium">
        <color rgb="FF3A3A3A"/>
      </left>
      <right style="thin">
        <color rgb="FFB0B0B0"/>
      </right>
      <top style="thin">
        <color rgb="FFB0B0B0"/>
      </top>
      <bottom style="medium">
        <color rgb="FF3A3A3A"/>
      </bottom>
      <diagonal/>
    </border>
    <border>
      <left style="thin">
        <color rgb="FFB0B0B0"/>
      </left>
      <right style="thin">
        <color rgb="FFB0B0B0"/>
      </right>
      <top style="thin">
        <color rgb="FFB0B0B0"/>
      </top>
      <bottom style="medium">
        <color rgb="FF3A3A3A"/>
      </bottom>
      <diagonal/>
    </border>
    <border>
      <left style="thin">
        <color rgb="FFB0B0B0"/>
      </left>
      <right style="medium">
        <color rgb="FF3A3A3A"/>
      </right>
      <top style="thin">
        <color rgb="FFB0B0B0"/>
      </top>
      <bottom style="medium">
        <color rgb="FF3A3A3A"/>
      </bottom>
      <diagonal/>
    </border>
    <border>
      <left style="medium">
        <color rgb="FF3A3A3A"/>
      </left>
      <right style="thin">
        <color rgb="FFB0B0B0"/>
      </right>
      <top style="thin">
        <color rgb="FFB0B0B0"/>
      </top>
      <bottom style="thin">
        <color rgb="FFB0B0B0"/>
      </bottom>
      <diagonal/>
    </border>
    <border>
      <left style="thin">
        <color rgb="FFB0B0B0"/>
      </left>
      <right style="thin">
        <color rgb="FFB0B0B0"/>
      </right>
      <top style="thin">
        <color rgb="FFB0B0B0"/>
      </top>
      <bottom style="thin">
        <color rgb="FFB0B0B0"/>
      </bottom>
      <diagonal/>
    </border>
    <border>
      <left style="medium">
        <color rgb="FF3A3A3A"/>
      </left>
      <right style="medium">
        <color rgb="FF3A3A3A"/>
      </right>
      <top style="thin">
        <color rgb="FFB0B0B0"/>
      </top>
      <bottom style="thin">
        <color rgb="FFB0B0B0"/>
      </bottom>
      <diagonal/>
    </border>
    <border>
      <left style="thin">
        <color rgb="FFB0B0B0"/>
      </left>
      <right style="medium">
        <color rgb="FF3A3A3A"/>
      </right>
      <top style="thin">
        <color rgb="FFB0B0B0"/>
      </top>
      <bottom style="thin">
        <color rgb="FFB0B0B0"/>
      </bottom>
      <diagonal/>
    </border>
    <border>
      <left style="thin">
        <color rgb="FFB0B0B0"/>
      </left>
      <right style="thin">
        <color rgb="FFB0B0B0"/>
      </right>
      <top style="medium">
        <color rgb="FF3A3A3A"/>
      </top>
      <bottom style="medium">
        <color rgb="FF3A3A3A"/>
      </bottom>
      <diagonal/>
    </border>
    <border>
      <left style="medium">
        <color rgb="FF3A3A3A"/>
      </left>
      <right style="medium">
        <color rgb="FF3A3A3A"/>
      </right>
      <top style="medium">
        <color rgb="FF3A3A3A"/>
      </top>
      <bottom style="medium">
        <color rgb="FF3A3A3A"/>
      </bottom>
      <diagonal/>
    </border>
    <border>
      <left style="thin">
        <color rgb="FFB0B0B0"/>
      </left>
      <right style="medium">
        <color rgb="FF3A3A3A"/>
      </right>
      <top style="medium">
        <color rgb="FF3A3A3A"/>
      </top>
      <bottom style="medium">
        <color rgb="FF3A3A3A"/>
      </bottom>
      <diagonal/>
    </border>
    <border>
      <left style="medium">
        <color auto="1"/>
      </left>
      <right style="medium">
        <color auto="1"/>
      </right>
      <top style="medium">
        <color auto="1"/>
      </top>
      <bottom style="medium">
        <color auto="1"/>
      </bottom>
      <diagonal/>
    </border>
    <border>
      <left style="medium">
        <color rgb="FF3A3A3A"/>
      </left>
      <right style="medium">
        <color rgb="FF3A3A3A"/>
      </right>
      <top style="medium">
        <color auto="1"/>
      </top>
      <bottom style="medium">
        <color auto="1"/>
      </bottom>
      <diagonal/>
    </border>
    <border>
      <left/>
      <right/>
      <top style="medium">
        <color rgb="FF3A3A3A"/>
      </top>
      <bottom style="medium">
        <color rgb="FF3A3A3A"/>
      </bottom>
      <diagonal/>
    </border>
    <border>
      <left style="medium">
        <color rgb="FF3A3A3A"/>
      </left>
      <right/>
      <top/>
      <bottom style="medium">
        <color rgb="FF3A3A3A"/>
      </bottom>
      <diagonal/>
    </border>
    <border>
      <left/>
      <right style="medium">
        <color rgb="FF3A3A3A"/>
      </right>
      <top/>
      <bottom style="medium">
        <color rgb="FF3A3A3A"/>
      </bottom>
      <diagonal/>
    </border>
    <border>
      <left/>
      <right style="medium">
        <color rgb="FF3A3A3A"/>
      </right>
      <top style="medium">
        <color rgb="FF3A3A3A"/>
      </top>
      <bottom style="thin">
        <color rgb="FFB0B0B0"/>
      </bottom>
      <diagonal/>
    </border>
    <border>
      <left/>
      <right style="medium">
        <color rgb="FF3A3A3A"/>
      </right>
      <top style="thin">
        <color rgb="FFB0B0B0"/>
      </top>
      <bottom style="medium">
        <color rgb="FF3A3A3A"/>
      </bottom>
      <diagonal/>
    </border>
    <border>
      <left style="medium">
        <color rgb="FF3A3A3A"/>
      </left>
      <right style="thin">
        <color rgb="FFB0B0B0"/>
      </right>
      <top/>
      <bottom style="thin">
        <color rgb="FFB0B0B0"/>
      </bottom>
      <diagonal/>
    </border>
    <border>
      <left style="thin">
        <color rgb="FFB0B0B0"/>
      </left>
      <right style="thin">
        <color rgb="FFB0B0B0"/>
      </right>
      <top/>
      <bottom style="thin">
        <color rgb="FFB0B0B0"/>
      </bottom>
      <diagonal/>
    </border>
    <border>
      <left style="medium">
        <color rgb="FF3A3A3A"/>
      </left>
      <right/>
      <top style="medium">
        <color rgb="FF3A3A3A"/>
      </top>
      <bottom/>
      <diagonal/>
    </border>
    <border>
      <left/>
      <right style="medium">
        <color rgb="FF3A3A3A"/>
      </right>
      <top style="medium">
        <color rgb="FF3A3A3A"/>
      </top>
      <bottom/>
      <diagonal/>
    </border>
    <border>
      <left/>
      <right style="medium">
        <color rgb="FF3A3A3A"/>
      </right>
      <top style="thin">
        <color rgb="FFB0B0B0"/>
      </top>
      <bottom style="thin">
        <color rgb="FFB0B0B0"/>
      </bottom>
      <diagonal/>
    </border>
    <border>
      <left style="medium">
        <color rgb="FF3A3A3A"/>
      </left>
      <right style="thin">
        <color rgb="FFB0B0B0"/>
      </right>
      <top style="medium">
        <color rgb="FF3A3A3A"/>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B0B0B0"/>
      </left>
      <right style="medium">
        <color rgb="FF3A3A3A"/>
      </right>
      <top/>
      <bottom style="thin">
        <color rgb="FFB0B0B0"/>
      </bottom>
      <diagonal/>
    </border>
    <border>
      <left style="medium">
        <color indexed="64"/>
      </left>
      <right style="thin">
        <color rgb="FFB0B0B0"/>
      </right>
      <top style="medium">
        <color indexed="64"/>
      </top>
      <bottom style="medium">
        <color rgb="FF3A3A3A"/>
      </bottom>
      <diagonal/>
    </border>
    <border>
      <left style="medium">
        <color rgb="FF3A3A3A"/>
      </left>
      <right style="thin">
        <color rgb="FFB0B0B0"/>
      </right>
      <top style="medium">
        <color indexed="64"/>
      </top>
      <bottom style="medium">
        <color rgb="FF3A3A3A"/>
      </bottom>
      <diagonal/>
    </border>
    <border>
      <left style="medium">
        <color rgb="FF3A3A3A"/>
      </left>
      <right style="medium">
        <color indexed="64"/>
      </right>
      <top style="medium">
        <color indexed="64"/>
      </top>
      <bottom style="medium">
        <color rgb="FF3A3A3A"/>
      </bottom>
      <diagonal/>
    </border>
    <border>
      <left style="medium">
        <color indexed="64"/>
      </left>
      <right style="thin">
        <color rgb="FFB0B0B0"/>
      </right>
      <top style="thin">
        <color rgb="FFB0B0B0"/>
      </top>
      <bottom style="medium">
        <color indexed="64"/>
      </bottom>
      <diagonal/>
    </border>
    <border>
      <left style="medium">
        <color rgb="FF3A3A3A"/>
      </left>
      <right style="thin">
        <color rgb="FFB0B0B0"/>
      </right>
      <top style="medium">
        <color rgb="FF3A3A3A"/>
      </top>
      <bottom style="medium">
        <color indexed="64"/>
      </bottom>
      <diagonal/>
    </border>
    <border>
      <left style="medium">
        <color rgb="FF3A3A3A"/>
      </left>
      <right style="medium">
        <color indexed="64"/>
      </right>
      <top style="medium">
        <color rgb="FF3A3A3A"/>
      </top>
      <bottom style="medium">
        <color indexed="64"/>
      </bottom>
      <diagonal/>
    </border>
    <border>
      <left style="medium">
        <color rgb="FF3A3A3A"/>
      </left>
      <right style="thin">
        <color rgb="FFB0B0B0"/>
      </right>
      <top/>
      <bottom/>
      <diagonal/>
    </border>
    <border>
      <left style="medium">
        <color rgb="FF3A3A3A"/>
      </left>
      <right style="medium">
        <color rgb="FF3A3A3A"/>
      </right>
      <top style="thin">
        <color rgb="FFB0B0B0"/>
      </top>
      <bottom style="thin">
        <color indexed="64"/>
      </bottom>
      <diagonal/>
    </border>
    <border>
      <left style="medium">
        <color rgb="FF3A3A3A"/>
      </left>
      <right style="thin">
        <color rgb="FFB0B0B0"/>
      </right>
      <top/>
      <bottom style="medium">
        <color rgb="FF3A3A3A"/>
      </bottom>
      <diagonal/>
    </border>
    <border>
      <left style="thin">
        <color rgb="FFB0B0B0"/>
      </left>
      <right style="thin">
        <color rgb="FFB0B0B0"/>
      </right>
      <top/>
      <bottom style="medium">
        <color rgb="FF3A3A3A"/>
      </bottom>
      <diagonal/>
    </border>
    <border>
      <left style="medium">
        <color rgb="FF3A3A3A"/>
      </left>
      <right style="medium">
        <color rgb="FF3A3A3A"/>
      </right>
      <top/>
      <bottom style="medium">
        <color rgb="FF3A3A3A"/>
      </bottom>
      <diagonal/>
    </border>
    <border>
      <left style="thin">
        <color rgb="FFB0B0B0"/>
      </left>
      <right style="medium">
        <color rgb="FF3A3A3A"/>
      </right>
      <top/>
      <bottom style="medium">
        <color rgb="FF3A3A3A"/>
      </bottom>
      <diagonal/>
    </border>
    <border>
      <left style="medium">
        <color rgb="FF3A3A3A"/>
      </left>
      <right style="thin">
        <color rgb="FFB0B0B0"/>
      </right>
      <top style="thin">
        <color rgb="FFB0B0B0"/>
      </top>
      <bottom style="thin">
        <color indexed="64"/>
      </bottom>
      <diagonal/>
    </border>
    <border>
      <left style="thin">
        <color rgb="FFB0B0B0"/>
      </left>
      <right style="thin">
        <color rgb="FFB0B0B0"/>
      </right>
      <top style="thin">
        <color rgb="FFB0B0B0"/>
      </top>
      <bottom style="thin">
        <color indexed="64"/>
      </bottom>
      <diagonal/>
    </border>
    <border>
      <left style="thin">
        <color rgb="FFB0B0B0"/>
      </left>
      <right style="medium">
        <color rgb="FF3A3A3A"/>
      </right>
      <top style="thin">
        <color rgb="FFB0B0B0"/>
      </top>
      <bottom style="thin">
        <color indexed="64"/>
      </bottom>
      <diagonal/>
    </border>
    <border>
      <left/>
      <right/>
      <top style="thin">
        <color rgb="FFBFBFBF"/>
      </top>
      <bottom/>
      <diagonal/>
    </border>
    <border>
      <left/>
      <right/>
      <top style="medium">
        <color rgb="FF0F1317"/>
      </top>
      <bottom style="medium">
        <color rgb="FF0F1317"/>
      </bottom>
      <diagonal/>
    </border>
    <border>
      <left style="medium">
        <color rgb="FF3A3A3A"/>
      </left>
      <right style="thin">
        <color rgb="FFB0B0B0"/>
      </right>
      <top style="thin">
        <color indexed="64"/>
      </top>
      <bottom style="medium">
        <color rgb="FF3A3A3A"/>
      </bottom>
      <diagonal/>
    </border>
    <border>
      <left style="thin">
        <color rgb="FFB0B0B0"/>
      </left>
      <right style="thin">
        <color rgb="FFB0B0B0"/>
      </right>
      <top style="thin">
        <color indexed="64"/>
      </top>
      <bottom style="medium">
        <color rgb="FF3A3A3A"/>
      </bottom>
      <diagonal/>
    </border>
    <border>
      <left style="medium">
        <color rgb="FF3A3A3A"/>
      </left>
      <right style="medium">
        <color rgb="FF3A3A3A"/>
      </right>
      <top style="thin">
        <color indexed="64"/>
      </top>
      <bottom style="medium">
        <color rgb="FF3A3A3A"/>
      </bottom>
      <diagonal/>
    </border>
    <border>
      <left style="thin">
        <color rgb="FFB0B0B0"/>
      </left>
      <right style="medium">
        <color rgb="FF3A3A3A"/>
      </right>
      <top style="thin">
        <color indexed="64"/>
      </top>
      <bottom style="medium">
        <color rgb="FF3A3A3A"/>
      </bottom>
      <diagonal/>
    </border>
    <border>
      <left style="medium">
        <color rgb="FF3A3A3A"/>
      </left>
      <right style="thin">
        <color rgb="FFB0B0B0"/>
      </right>
      <top/>
      <bottom style="thin">
        <color indexed="64"/>
      </bottom>
      <diagonal/>
    </border>
    <border>
      <left style="thin">
        <color rgb="FFB0B0B0"/>
      </left>
      <right style="thin">
        <color rgb="FFB0B0B0"/>
      </right>
      <top/>
      <bottom style="thin">
        <color indexed="64"/>
      </bottom>
      <diagonal/>
    </border>
    <border>
      <left style="medium">
        <color rgb="FF3A3A3A"/>
      </left>
      <right style="medium">
        <color rgb="FF3A3A3A"/>
      </right>
      <top/>
      <bottom style="thin">
        <color indexed="64"/>
      </bottom>
      <diagonal/>
    </border>
    <border>
      <left style="thin">
        <color rgb="FFB0B0B0"/>
      </left>
      <right style="medium">
        <color rgb="FF3A3A3A"/>
      </right>
      <top/>
      <bottom style="thin">
        <color indexed="64"/>
      </bottom>
      <diagonal/>
    </border>
  </borders>
  <cellStyleXfs count="1">
    <xf numFmtId="0" fontId="0" fillId="0" borderId="0"/>
  </cellStyleXfs>
  <cellXfs count="366">
    <xf numFmtId="0" fontId="0" fillId="0" borderId="0" xfId="0"/>
    <xf numFmtId="0" fontId="3" fillId="2" borderId="15" xfId="0" applyFont="1" applyFill="1" applyBorder="1"/>
    <xf numFmtId="0" fontId="6" fillId="4" borderId="3" xfId="0" applyFont="1" applyFill="1" applyBorder="1" applyAlignment="1">
      <alignment horizontal="center" vertical="center"/>
    </xf>
    <xf numFmtId="0" fontId="6" fillId="4" borderId="4" xfId="0" applyFont="1" applyFill="1" applyBorder="1" applyAlignment="1">
      <alignment horizontal="left" vertical="center"/>
    </xf>
    <xf numFmtId="0" fontId="6" fillId="4" borderId="4" xfId="0" applyFont="1" applyFill="1" applyBorder="1" applyAlignment="1">
      <alignment horizontal="center" vertical="center"/>
    </xf>
    <xf numFmtId="0" fontId="6" fillId="4" borderId="5" xfId="0" applyFont="1" applyFill="1" applyBorder="1" applyAlignment="1">
      <alignment horizontal="center" vertical="center"/>
    </xf>
    <xf numFmtId="0" fontId="0" fillId="0" borderId="7" xfId="0" applyBorder="1"/>
    <xf numFmtId="0" fontId="7" fillId="3" borderId="8"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0" xfId="0" applyFont="1" applyFill="1" applyBorder="1" applyAlignment="1">
      <alignment horizontal="center" vertical="center"/>
    </xf>
    <xf numFmtId="0" fontId="0" fillId="0" borderId="11" xfId="0" applyBorder="1"/>
    <xf numFmtId="164" fontId="0" fillId="2" borderId="12" xfId="0" applyNumberFormat="1" applyFill="1" applyBorder="1" applyAlignment="1">
      <alignment horizontal="center" vertical="center"/>
    </xf>
    <xf numFmtId="164" fontId="0" fillId="2" borderId="13" xfId="0" applyNumberFormat="1" applyFill="1" applyBorder="1" applyAlignment="1">
      <alignment horizontal="center" vertical="center"/>
    </xf>
    <xf numFmtId="164" fontId="0" fillId="2" borderId="14" xfId="0" applyNumberFormat="1" applyFill="1" applyBorder="1" applyAlignment="1">
      <alignment horizontal="center" vertical="center"/>
    </xf>
    <xf numFmtId="0" fontId="8" fillId="6" borderId="15" xfId="0" applyFont="1" applyFill="1" applyBorder="1" applyAlignment="1">
      <alignment horizontal="center" vertical="center"/>
    </xf>
    <xf numFmtId="0" fontId="3" fillId="6" borderId="16" xfId="0" applyFont="1" applyFill="1" applyBorder="1" applyAlignment="1">
      <alignment horizontal="left" vertical="center" wrapText="1"/>
    </xf>
    <xf numFmtId="4" fontId="7" fillId="6" borderId="16" xfId="0" applyNumberFormat="1" applyFont="1" applyFill="1" applyBorder="1" applyAlignment="1">
      <alignment horizontal="right" vertical="center"/>
    </xf>
    <xf numFmtId="0" fontId="3" fillId="6" borderId="16" xfId="0" applyFont="1" applyFill="1" applyBorder="1" applyAlignment="1">
      <alignment horizontal="center" vertical="center"/>
    </xf>
    <xf numFmtId="164" fontId="3" fillId="6" borderId="16" xfId="0" applyNumberFormat="1" applyFont="1" applyFill="1" applyBorder="1" applyAlignment="1">
      <alignment horizontal="right" vertical="center"/>
    </xf>
    <xf numFmtId="164" fontId="7" fillId="6" borderId="16" xfId="0" applyNumberFormat="1" applyFont="1" applyFill="1" applyBorder="1" applyAlignment="1">
      <alignment horizontal="right" vertical="center"/>
    </xf>
    <xf numFmtId="0" fontId="0" fillId="0" borderId="17" xfId="0" applyBorder="1"/>
    <xf numFmtId="164" fontId="0" fillId="6" borderId="16" xfId="0" applyNumberFormat="1" applyFill="1" applyBorder="1" applyAlignment="1">
      <alignment horizontal="right" vertical="center"/>
    </xf>
    <xf numFmtId="164" fontId="0" fillId="6" borderId="18" xfId="0" applyNumberFormat="1" applyFill="1" applyBorder="1" applyAlignment="1">
      <alignment horizontal="right" vertical="center"/>
    </xf>
    <xf numFmtId="0" fontId="8" fillId="2" borderId="15" xfId="0" applyFont="1" applyFill="1" applyBorder="1" applyAlignment="1">
      <alignment horizontal="center" vertical="center"/>
    </xf>
    <xf numFmtId="0" fontId="3" fillId="2" borderId="16" xfId="0" applyFont="1" applyFill="1" applyBorder="1" applyAlignment="1">
      <alignment horizontal="left" vertical="center" wrapText="1"/>
    </xf>
    <xf numFmtId="4" fontId="7" fillId="2" borderId="16" xfId="0" applyNumberFormat="1" applyFont="1" applyFill="1" applyBorder="1" applyAlignment="1">
      <alignment horizontal="right" vertical="center"/>
    </xf>
    <xf numFmtId="0" fontId="3" fillId="2" borderId="16" xfId="0" applyFont="1" applyFill="1" applyBorder="1" applyAlignment="1">
      <alignment horizontal="center" vertical="center"/>
    </xf>
    <xf numFmtId="164" fontId="3" fillId="2" borderId="16" xfId="0" applyNumberFormat="1" applyFont="1" applyFill="1" applyBorder="1" applyAlignment="1">
      <alignment horizontal="right" vertical="center"/>
    </xf>
    <xf numFmtId="164" fontId="7" fillId="2" borderId="16" xfId="0" applyNumberFormat="1" applyFont="1" applyFill="1" applyBorder="1" applyAlignment="1">
      <alignment horizontal="right" vertical="center"/>
    </xf>
    <xf numFmtId="164" fontId="0" fillId="2" borderId="16" xfId="0" applyNumberFormat="1" applyFill="1" applyBorder="1" applyAlignment="1">
      <alignment horizontal="right" vertical="center"/>
    </xf>
    <xf numFmtId="164" fontId="0" fillId="2" borderId="18" xfId="0" applyNumberFormat="1" applyFill="1" applyBorder="1" applyAlignment="1">
      <alignment horizontal="right" vertical="center"/>
    </xf>
    <xf numFmtId="0" fontId="8" fillId="0" borderId="15" xfId="0" applyFont="1" applyBorder="1" applyAlignment="1">
      <alignment horizontal="center" vertical="center"/>
    </xf>
    <xf numFmtId="0" fontId="3" fillId="0" borderId="16" xfId="0" applyFont="1" applyBorder="1" applyAlignment="1">
      <alignment horizontal="left" vertical="center" wrapText="1"/>
    </xf>
    <xf numFmtId="4" fontId="7" fillId="0" borderId="16" xfId="0" applyNumberFormat="1" applyFont="1" applyBorder="1" applyAlignment="1">
      <alignment horizontal="right" vertical="center"/>
    </xf>
    <xf numFmtId="0" fontId="3" fillId="0" borderId="16" xfId="0" applyFont="1" applyBorder="1" applyAlignment="1">
      <alignment horizontal="center" vertical="center"/>
    </xf>
    <xf numFmtId="164" fontId="3" fillId="0" borderId="16" xfId="0" applyNumberFormat="1" applyFont="1" applyBorder="1" applyAlignment="1">
      <alignment horizontal="right" vertical="center"/>
    </xf>
    <xf numFmtId="164" fontId="7" fillId="0" borderId="16" xfId="0" applyNumberFormat="1" applyFont="1" applyBorder="1" applyAlignment="1">
      <alignment horizontal="right" vertical="center"/>
    </xf>
    <xf numFmtId="164" fontId="0" fillId="0" borderId="16" xfId="0" applyNumberFormat="1" applyBorder="1" applyAlignment="1">
      <alignment horizontal="right" vertical="center"/>
    </xf>
    <xf numFmtId="164" fontId="0" fillId="0" borderId="18" xfId="0" applyNumberFormat="1" applyBorder="1" applyAlignment="1">
      <alignment horizontal="right" vertical="center"/>
    </xf>
    <xf numFmtId="0" fontId="0" fillId="3" borderId="19" xfId="0" applyFill="1" applyBorder="1"/>
    <xf numFmtId="164" fontId="7" fillId="3" borderId="19" xfId="0" applyNumberFormat="1" applyFont="1" applyFill="1" applyBorder="1" applyAlignment="1">
      <alignment horizontal="right" vertical="center"/>
    </xf>
    <xf numFmtId="0" fontId="0" fillId="0" borderId="20" xfId="0" applyBorder="1"/>
    <xf numFmtId="164" fontId="7" fillId="3" borderId="21" xfId="0" applyNumberFormat="1" applyFont="1" applyFill="1" applyBorder="1" applyAlignment="1">
      <alignment horizontal="right" vertical="center"/>
    </xf>
    <xf numFmtId="0" fontId="8" fillId="7" borderId="15" xfId="0" applyFont="1" applyFill="1" applyBorder="1" applyAlignment="1">
      <alignment horizontal="center" vertical="center"/>
    </xf>
    <xf numFmtId="0" fontId="3" fillId="7" borderId="16" xfId="0" applyFont="1" applyFill="1" applyBorder="1" applyAlignment="1">
      <alignment horizontal="left" vertical="center" wrapText="1"/>
    </xf>
    <xf numFmtId="4" fontId="7" fillId="7" borderId="16" xfId="0" applyNumberFormat="1" applyFont="1" applyFill="1" applyBorder="1" applyAlignment="1">
      <alignment horizontal="right" vertical="center"/>
    </xf>
    <xf numFmtId="0" fontId="3" fillId="7" borderId="16" xfId="0" applyFont="1" applyFill="1" applyBorder="1" applyAlignment="1">
      <alignment horizontal="center" vertical="center"/>
    </xf>
    <xf numFmtId="164" fontId="3" fillId="7" borderId="16" xfId="0" applyNumberFormat="1" applyFont="1" applyFill="1" applyBorder="1" applyAlignment="1">
      <alignment horizontal="right" vertical="center"/>
    </xf>
    <xf numFmtId="164" fontId="7" fillId="7" borderId="16" xfId="0" applyNumberFormat="1" applyFont="1" applyFill="1" applyBorder="1" applyAlignment="1">
      <alignment horizontal="right" vertical="center"/>
    </xf>
    <xf numFmtId="164" fontId="0" fillId="7" borderId="16" xfId="0" applyNumberFormat="1" applyFill="1" applyBorder="1" applyAlignment="1">
      <alignment horizontal="right" vertical="center"/>
    </xf>
    <xf numFmtId="164" fontId="0" fillId="7" borderId="18" xfId="0" applyNumberFormat="1" applyFill="1" applyBorder="1" applyAlignment="1">
      <alignment horizontal="right" vertical="center"/>
    </xf>
    <xf numFmtId="0" fontId="8" fillId="8" borderId="15" xfId="0" applyFont="1" applyFill="1" applyBorder="1" applyAlignment="1">
      <alignment horizontal="center" vertical="center"/>
    </xf>
    <xf numFmtId="0" fontId="3" fillId="8" borderId="16" xfId="0" applyFont="1" applyFill="1" applyBorder="1" applyAlignment="1">
      <alignment horizontal="left" vertical="center" wrapText="1"/>
    </xf>
    <xf numFmtId="4" fontId="7" fillId="8" borderId="16" xfId="0" applyNumberFormat="1" applyFont="1" applyFill="1" applyBorder="1" applyAlignment="1">
      <alignment horizontal="right" vertical="center"/>
    </xf>
    <xf numFmtId="0" fontId="3" fillId="8" borderId="16" xfId="0" applyFont="1" applyFill="1" applyBorder="1" applyAlignment="1">
      <alignment horizontal="center" vertical="center"/>
    </xf>
    <xf numFmtId="164" fontId="3" fillId="8" borderId="16" xfId="0" applyNumberFormat="1" applyFont="1" applyFill="1" applyBorder="1" applyAlignment="1">
      <alignment horizontal="right" vertical="center"/>
    </xf>
    <xf numFmtId="164" fontId="7" fillId="8" borderId="16" xfId="0" applyNumberFormat="1" applyFont="1" applyFill="1" applyBorder="1" applyAlignment="1">
      <alignment horizontal="right" vertical="center"/>
    </xf>
    <xf numFmtId="164" fontId="0" fillId="8" borderId="16" xfId="0" applyNumberFormat="1" applyFill="1" applyBorder="1" applyAlignment="1">
      <alignment horizontal="right" vertical="center"/>
    </xf>
    <xf numFmtId="164" fontId="0" fillId="8" borderId="18" xfId="0" applyNumberFormat="1" applyFill="1" applyBorder="1" applyAlignment="1">
      <alignment horizontal="right" vertical="center"/>
    </xf>
    <xf numFmtId="0" fontId="8" fillId="9" borderId="15" xfId="0" applyFont="1" applyFill="1" applyBorder="1" applyAlignment="1">
      <alignment horizontal="center" vertical="center"/>
    </xf>
    <xf numFmtId="0" fontId="3" fillId="9" borderId="16" xfId="0" applyFont="1" applyFill="1" applyBorder="1" applyAlignment="1">
      <alignment horizontal="left" vertical="center" wrapText="1"/>
    </xf>
    <xf numFmtId="4" fontId="7" fillId="9" borderId="16" xfId="0" applyNumberFormat="1" applyFont="1" applyFill="1" applyBorder="1" applyAlignment="1">
      <alignment horizontal="right" vertical="center"/>
    </xf>
    <xf numFmtId="0" fontId="3" fillId="9" borderId="16" xfId="0" applyFont="1" applyFill="1" applyBorder="1" applyAlignment="1">
      <alignment horizontal="center" vertical="center"/>
    </xf>
    <xf numFmtId="164" fontId="3" fillId="9" borderId="16" xfId="0" applyNumberFormat="1" applyFont="1" applyFill="1" applyBorder="1" applyAlignment="1">
      <alignment horizontal="right" vertical="center"/>
    </xf>
    <xf numFmtId="164" fontId="7" fillId="9" borderId="16" xfId="0" applyNumberFormat="1" applyFont="1" applyFill="1" applyBorder="1" applyAlignment="1">
      <alignment horizontal="right" vertical="center"/>
    </xf>
    <xf numFmtId="0" fontId="9" fillId="2" borderId="16" xfId="0" applyFont="1" applyFill="1" applyBorder="1" applyAlignment="1">
      <alignment horizontal="center" vertical="center"/>
    </xf>
    <xf numFmtId="0" fontId="9" fillId="0" borderId="16" xfId="0" applyFont="1" applyBorder="1" applyAlignment="1">
      <alignment horizontal="left" vertical="center" wrapText="1"/>
    </xf>
    <xf numFmtId="0" fontId="9" fillId="0" borderId="16" xfId="0" applyFont="1" applyBorder="1" applyAlignment="1">
      <alignment horizontal="center" vertical="center"/>
    </xf>
    <xf numFmtId="0" fontId="9" fillId="2" borderId="16" xfId="0" applyFont="1" applyFill="1" applyBorder="1" applyAlignment="1">
      <alignment horizontal="left" vertical="center" wrapText="1"/>
    </xf>
    <xf numFmtId="164" fontId="2" fillId="3" borderId="19" xfId="0" applyNumberFormat="1" applyFont="1" applyFill="1" applyBorder="1" applyAlignment="1">
      <alignment horizontal="right" vertical="center"/>
    </xf>
    <xf numFmtId="164" fontId="2" fillId="3" borderId="21" xfId="0" applyNumberFormat="1" applyFont="1" applyFill="1" applyBorder="1" applyAlignment="1">
      <alignment horizontal="right" vertical="center"/>
    </xf>
    <xf numFmtId="10" fontId="7" fillId="2" borderId="16" xfId="0" applyNumberFormat="1" applyFont="1" applyFill="1" applyBorder="1" applyAlignment="1">
      <alignment horizontal="right" vertical="center"/>
    </xf>
    <xf numFmtId="164" fontId="11" fillId="3" borderId="19" xfId="0" applyNumberFormat="1" applyFont="1" applyFill="1" applyBorder="1" applyAlignment="1">
      <alignment horizontal="right" vertical="center"/>
    </xf>
    <xf numFmtId="10" fontId="7" fillId="2" borderId="9" xfId="0" applyNumberFormat="1" applyFont="1" applyFill="1" applyBorder="1" applyAlignment="1">
      <alignment horizontal="right" vertical="center"/>
    </xf>
    <xf numFmtId="164" fontId="0" fillId="2" borderId="9" xfId="0" applyNumberFormat="1" applyFill="1" applyBorder="1" applyAlignment="1">
      <alignment horizontal="right" vertical="center"/>
    </xf>
    <xf numFmtId="164" fontId="0" fillId="2" borderId="10" xfId="0" applyNumberFormat="1" applyFill="1" applyBorder="1" applyAlignment="1">
      <alignment horizontal="right" vertical="center"/>
    </xf>
    <xf numFmtId="0" fontId="14" fillId="0" borderId="0" xfId="0" applyFont="1"/>
    <xf numFmtId="0" fontId="15" fillId="5" borderId="0" xfId="0" applyFont="1" applyFill="1" applyAlignment="1">
      <alignment vertical="center" wrapText="1"/>
    </xf>
    <xf numFmtId="0" fontId="16" fillId="3" borderId="0" xfId="0" applyFont="1" applyFill="1"/>
    <xf numFmtId="0" fontId="0" fillId="3" borderId="0" xfId="0" applyFill="1"/>
    <xf numFmtId="0" fontId="0" fillId="0" borderId="0" xfId="0" applyAlignment="1">
      <alignment vertical="top" wrapText="1"/>
    </xf>
    <xf numFmtId="3" fontId="0" fillId="0" borderId="0" xfId="0" applyNumberFormat="1" applyAlignment="1">
      <alignment vertical="top" wrapText="1"/>
    </xf>
    <xf numFmtId="165" fontId="0" fillId="0" borderId="0" xfId="0" applyNumberFormat="1" applyAlignment="1">
      <alignment vertical="top" wrapText="1"/>
    </xf>
    <xf numFmtId="0" fontId="16" fillId="0" borderId="0" xfId="0" applyFont="1"/>
    <xf numFmtId="165" fontId="16" fillId="0" borderId="0" xfId="0" applyNumberFormat="1" applyFont="1"/>
    <xf numFmtId="0" fontId="6" fillId="4" borderId="3" xfId="0" applyFont="1" applyFill="1" applyBorder="1" applyAlignment="1">
      <alignment horizontal="left" vertical="center" wrapText="1"/>
    </xf>
    <xf numFmtId="0" fontId="6" fillId="4" borderId="4" xfId="0" applyFont="1" applyFill="1" applyBorder="1" applyAlignment="1">
      <alignment horizontal="left" vertical="center" wrapText="1"/>
    </xf>
    <xf numFmtId="0" fontId="6" fillId="4" borderId="4" xfId="0" applyFont="1" applyFill="1" applyBorder="1" applyAlignment="1">
      <alignment horizontal="center" vertical="center" wrapText="1"/>
    </xf>
    <xf numFmtId="0" fontId="6" fillId="4" borderId="23" xfId="0" applyFont="1" applyFill="1" applyBorder="1" applyAlignment="1">
      <alignment horizontal="center" vertical="center" wrapText="1"/>
    </xf>
    <xf numFmtId="0" fontId="6" fillId="4" borderId="5" xfId="0" applyFont="1" applyFill="1" applyBorder="1" applyAlignment="1">
      <alignment horizontal="center" vertical="center" wrapText="1"/>
    </xf>
    <xf numFmtId="0" fontId="8" fillId="0" borderId="15" xfId="0" applyFont="1" applyBorder="1" applyAlignment="1">
      <alignment horizontal="left" vertical="center" wrapText="1"/>
    </xf>
    <xf numFmtId="0" fontId="7" fillId="0" borderId="16" xfId="0" applyFont="1" applyBorder="1" applyAlignment="1">
      <alignment horizontal="left" vertical="center" wrapText="1"/>
    </xf>
    <xf numFmtId="164" fontId="7" fillId="10" borderId="17" xfId="0" applyNumberFormat="1" applyFont="1" applyFill="1" applyBorder="1" applyAlignment="1">
      <alignment horizontal="right" vertical="center"/>
    </xf>
    <xf numFmtId="0" fontId="0" fillId="0" borderId="16" xfId="0" applyBorder="1" applyAlignment="1">
      <alignment horizontal="center" vertical="center"/>
    </xf>
    <xf numFmtId="164" fontId="2" fillId="3" borderId="16" xfId="0" applyNumberFormat="1" applyFont="1" applyFill="1" applyBorder="1" applyAlignment="1">
      <alignment horizontal="right" vertical="center"/>
    </xf>
    <xf numFmtId="0" fontId="0" fillId="3" borderId="16" xfId="0" applyFill="1" applyBorder="1"/>
    <xf numFmtId="164" fontId="0" fillId="10" borderId="17" xfId="0" applyNumberFormat="1" applyFill="1" applyBorder="1" applyAlignment="1">
      <alignment horizontal="right" vertical="center"/>
    </xf>
    <xf numFmtId="0" fontId="0" fillId="2" borderId="16" xfId="0" applyFill="1" applyBorder="1"/>
    <xf numFmtId="164" fontId="11" fillId="10" borderId="20" xfId="0" applyNumberFormat="1" applyFont="1" applyFill="1" applyBorder="1" applyAlignment="1">
      <alignment horizontal="right" vertical="center"/>
    </xf>
    <xf numFmtId="0" fontId="19" fillId="0" borderId="0" xfId="0" applyFont="1"/>
    <xf numFmtId="0" fontId="8" fillId="11" borderId="8" xfId="0" applyFont="1" applyFill="1" applyBorder="1" applyAlignment="1">
      <alignment horizontal="left" vertical="center" wrapText="1"/>
    </xf>
    <xf numFmtId="0" fontId="7" fillId="11" borderId="9" xfId="0" applyFont="1" applyFill="1" applyBorder="1" applyAlignment="1">
      <alignment horizontal="left" vertical="center" wrapText="1"/>
    </xf>
    <xf numFmtId="164" fontId="3" fillId="11" borderId="9" xfId="0" applyNumberFormat="1" applyFont="1" applyFill="1" applyBorder="1" applyAlignment="1">
      <alignment horizontal="right" vertical="center"/>
    </xf>
    <xf numFmtId="164" fontId="3" fillId="10" borderId="7" xfId="0" applyNumberFormat="1" applyFont="1" applyFill="1" applyBorder="1" applyAlignment="1">
      <alignment horizontal="right" vertical="center"/>
    </xf>
    <xf numFmtId="164" fontId="7" fillId="11" borderId="9" xfId="0" applyNumberFormat="1" applyFont="1" applyFill="1" applyBorder="1" applyAlignment="1">
      <alignment horizontal="right" vertical="center"/>
    </xf>
    <xf numFmtId="0" fontId="8" fillId="2" borderId="15" xfId="0" applyFont="1" applyFill="1" applyBorder="1" applyAlignment="1">
      <alignment horizontal="left" vertical="center" wrapText="1"/>
    </xf>
    <xf numFmtId="0" fontId="7" fillId="2" borderId="16" xfId="0" applyFont="1" applyFill="1" applyBorder="1" applyAlignment="1">
      <alignment horizontal="left" vertical="center" wrapText="1"/>
    </xf>
    <xf numFmtId="164" fontId="3" fillId="10" borderId="17" xfId="0" applyNumberFormat="1" applyFont="1" applyFill="1" applyBorder="1" applyAlignment="1">
      <alignment horizontal="right" vertical="center"/>
    </xf>
    <xf numFmtId="0" fontId="8" fillId="11" borderId="15" xfId="0" applyFont="1" applyFill="1" applyBorder="1" applyAlignment="1">
      <alignment horizontal="left" vertical="center" wrapText="1"/>
    </xf>
    <xf numFmtId="0" fontId="7" fillId="11" borderId="16" xfId="0" applyFont="1" applyFill="1" applyBorder="1" applyAlignment="1">
      <alignment horizontal="left" vertical="center" wrapText="1"/>
    </xf>
    <xf numFmtId="164" fontId="3" fillId="11" borderId="16" xfId="0" applyNumberFormat="1" applyFont="1" applyFill="1" applyBorder="1" applyAlignment="1">
      <alignment horizontal="right" vertical="center"/>
    </xf>
    <xf numFmtId="164" fontId="7" fillId="11" borderId="16" xfId="0" applyNumberFormat="1" applyFont="1" applyFill="1" applyBorder="1" applyAlignment="1">
      <alignment horizontal="right" vertical="center"/>
    </xf>
    <xf numFmtId="164" fontId="7" fillId="12" borderId="13" xfId="0" applyNumberFormat="1" applyFont="1" applyFill="1" applyBorder="1" applyAlignment="1">
      <alignment horizontal="right" vertical="center"/>
    </xf>
    <xf numFmtId="0" fontId="6" fillId="4" borderId="5" xfId="0" applyFont="1" applyFill="1" applyBorder="1" applyAlignment="1">
      <alignment horizontal="left" vertical="center" wrapText="1"/>
    </xf>
    <xf numFmtId="0" fontId="7" fillId="12" borderId="8" xfId="0" applyFont="1" applyFill="1" applyBorder="1" applyAlignment="1">
      <alignment horizontal="left" vertical="top" wrapText="1"/>
    </xf>
    <xf numFmtId="0" fontId="3" fillId="12" borderId="9" xfId="0" applyFont="1" applyFill="1" applyBorder="1" applyAlignment="1">
      <alignment horizontal="left" vertical="top" wrapText="1"/>
    </xf>
    <xf numFmtId="0" fontId="3" fillId="12" borderId="10" xfId="0" applyFont="1" applyFill="1" applyBorder="1" applyAlignment="1">
      <alignment horizontal="left" vertical="top" wrapText="1"/>
    </xf>
    <xf numFmtId="0" fontId="3" fillId="12" borderId="16" xfId="0" applyFont="1" applyFill="1" applyBorder="1" applyAlignment="1">
      <alignment horizontal="left" vertical="top" wrapText="1"/>
    </xf>
    <xf numFmtId="0" fontId="3" fillId="12" borderId="18" xfId="0" applyFont="1" applyFill="1" applyBorder="1" applyAlignment="1">
      <alignment horizontal="left" vertical="top" wrapText="1"/>
    </xf>
    <xf numFmtId="0" fontId="7" fillId="2" borderId="15" xfId="0" applyFont="1" applyFill="1" applyBorder="1" applyAlignment="1">
      <alignment horizontal="left" vertical="top" wrapText="1"/>
    </xf>
    <xf numFmtId="0" fontId="3" fillId="2" borderId="16" xfId="0" applyFont="1" applyFill="1" applyBorder="1" applyAlignment="1">
      <alignment horizontal="left" vertical="top" wrapText="1"/>
    </xf>
    <xf numFmtId="0" fontId="3" fillId="2" borderId="18" xfId="0" applyFont="1" applyFill="1" applyBorder="1" applyAlignment="1">
      <alignment horizontal="left" vertical="top" wrapText="1"/>
    </xf>
    <xf numFmtId="0" fontId="3" fillId="2" borderId="13" xfId="0" applyFont="1" applyFill="1" applyBorder="1" applyAlignment="1">
      <alignment horizontal="left" vertical="top" wrapText="1"/>
    </xf>
    <xf numFmtId="0" fontId="3" fillId="2" borderId="14" xfId="0" applyFont="1" applyFill="1" applyBorder="1" applyAlignment="1">
      <alignment horizontal="left" vertical="top" wrapText="1"/>
    </xf>
    <xf numFmtId="0" fontId="6" fillId="4" borderId="3" xfId="0" applyFont="1" applyFill="1" applyBorder="1" applyAlignment="1">
      <alignment horizontal="center" vertical="center" wrapText="1"/>
    </xf>
    <xf numFmtId="0" fontId="7" fillId="12" borderId="8" xfId="0" applyFont="1" applyFill="1" applyBorder="1" applyAlignment="1">
      <alignment horizontal="center" vertical="top" wrapText="1"/>
    </xf>
    <xf numFmtId="0" fontId="7" fillId="12" borderId="9" xfId="0" applyFont="1" applyFill="1" applyBorder="1" applyAlignment="1">
      <alignment horizontal="center" vertical="top" wrapText="1"/>
    </xf>
    <xf numFmtId="164" fontId="3" fillId="12" borderId="9" xfId="0" applyNumberFormat="1" applyFont="1" applyFill="1" applyBorder="1" applyAlignment="1">
      <alignment horizontal="right" vertical="top"/>
    </xf>
    <xf numFmtId="0" fontId="7" fillId="12" borderId="15" xfId="0" applyFont="1" applyFill="1" applyBorder="1" applyAlignment="1">
      <alignment horizontal="center" vertical="top" wrapText="1"/>
    </xf>
    <xf numFmtId="0" fontId="7" fillId="12" borderId="16" xfId="0" applyFont="1" applyFill="1" applyBorder="1" applyAlignment="1">
      <alignment horizontal="center" vertical="top" wrapText="1"/>
    </xf>
    <xf numFmtId="164" fontId="3" fillId="12" borderId="16" xfId="0" applyNumberFormat="1" applyFont="1" applyFill="1" applyBorder="1" applyAlignment="1">
      <alignment horizontal="right" vertical="top"/>
    </xf>
    <xf numFmtId="0" fontId="7" fillId="2" borderId="15" xfId="0" applyFont="1" applyFill="1" applyBorder="1" applyAlignment="1">
      <alignment horizontal="center" vertical="top" wrapText="1"/>
    </xf>
    <xf numFmtId="0" fontId="7" fillId="2" borderId="16" xfId="0" applyFont="1" applyFill="1" applyBorder="1" applyAlignment="1">
      <alignment horizontal="center" vertical="top" wrapText="1"/>
    </xf>
    <xf numFmtId="164" fontId="3" fillId="2" borderId="16" xfId="0" applyNumberFormat="1" applyFont="1" applyFill="1" applyBorder="1" applyAlignment="1">
      <alignment horizontal="right" vertical="top"/>
    </xf>
    <xf numFmtId="0" fontId="7" fillId="11" borderId="15" xfId="0" applyFont="1" applyFill="1" applyBorder="1" applyAlignment="1">
      <alignment horizontal="center" vertical="top" wrapText="1"/>
    </xf>
    <xf numFmtId="0" fontId="7" fillId="11" borderId="16" xfId="0" applyFont="1" applyFill="1" applyBorder="1" applyAlignment="1">
      <alignment horizontal="center" vertical="top" wrapText="1"/>
    </xf>
    <xf numFmtId="0" fontId="3" fillId="11" borderId="16" xfId="0" applyFont="1" applyFill="1" applyBorder="1" applyAlignment="1">
      <alignment horizontal="left" vertical="top" wrapText="1"/>
    </xf>
    <xf numFmtId="164" fontId="3" fillId="11" borderId="16" xfId="0" applyNumberFormat="1" applyFont="1" applyFill="1" applyBorder="1" applyAlignment="1">
      <alignment horizontal="right" vertical="top"/>
    </xf>
    <xf numFmtId="0" fontId="3" fillId="11" borderId="18" xfId="0" applyFont="1" applyFill="1" applyBorder="1" applyAlignment="1">
      <alignment horizontal="left" vertical="top" wrapText="1"/>
    </xf>
    <xf numFmtId="0" fontId="7" fillId="11" borderId="12" xfId="0" applyFont="1" applyFill="1" applyBorder="1" applyAlignment="1">
      <alignment horizontal="center" vertical="top" wrapText="1"/>
    </xf>
    <xf numFmtId="0" fontId="7" fillId="11" borderId="13" xfId="0" applyFont="1" applyFill="1" applyBorder="1" applyAlignment="1">
      <alignment horizontal="center" vertical="top" wrapText="1"/>
    </xf>
    <xf numFmtId="0" fontId="3" fillId="11" borderId="13" xfId="0" applyFont="1" applyFill="1" applyBorder="1" applyAlignment="1">
      <alignment horizontal="left" vertical="top" wrapText="1"/>
    </xf>
    <xf numFmtId="164" fontId="3" fillId="11" borderId="13" xfId="0" applyNumberFormat="1" applyFont="1" applyFill="1" applyBorder="1" applyAlignment="1">
      <alignment horizontal="right" vertical="top"/>
    </xf>
    <xf numFmtId="0" fontId="3" fillId="11" borderId="14" xfId="0" applyFont="1" applyFill="1" applyBorder="1" applyAlignment="1">
      <alignment horizontal="left" vertical="top" wrapText="1"/>
    </xf>
    <xf numFmtId="0" fontId="6" fillId="4" borderId="8" xfId="0" applyFont="1" applyFill="1" applyBorder="1" applyAlignment="1">
      <alignment horizontal="left" vertical="center" wrapText="1"/>
    </xf>
    <xf numFmtId="0" fontId="6" fillId="4" borderId="9" xfId="0" applyFont="1" applyFill="1" applyBorder="1" applyAlignment="1">
      <alignment horizontal="left" vertical="center" wrapText="1"/>
    </xf>
    <xf numFmtId="0" fontId="6" fillId="4" borderId="9" xfId="0" applyFont="1" applyFill="1" applyBorder="1" applyAlignment="1">
      <alignment horizontal="center" vertical="center" wrapText="1"/>
    </xf>
    <xf numFmtId="0" fontId="6" fillId="4" borderId="10" xfId="0" applyFont="1" applyFill="1" applyBorder="1" applyAlignment="1">
      <alignment horizontal="left" vertical="center" wrapText="1"/>
    </xf>
    <xf numFmtId="0" fontId="3" fillId="2" borderId="15" xfId="0" applyFont="1" applyFill="1" applyBorder="1" applyAlignment="1">
      <alignment horizontal="left" vertical="top" wrapText="1"/>
    </xf>
    <xf numFmtId="0" fontId="3" fillId="2" borderId="12" xfId="0" applyFont="1" applyFill="1" applyBorder="1" applyAlignment="1">
      <alignment horizontal="left" vertical="top" wrapText="1"/>
    </xf>
    <xf numFmtId="0" fontId="22" fillId="13" borderId="0" xfId="0" applyFont="1" applyFill="1"/>
    <xf numFmtId="0" fontId="0" fillId="13" borderId="0" xfId="0" applyFill="1"/>
    <xf numFmtId="166" fontId="22" fillId="13" borderId="0" xfId="0" applyNumberFormat="1" applyFont="1" applyFill="1" applyAlignment="1">
      <alignment horizontal="right"/>
    </xf>
    <xf numFmtId="0" fontId="8" fillId="14" borderId="15" xfId="0" applyFont="1" applyFill="1" applyBorder="1" applyAlignment="1">
      <alignment horizontal="center" vertical="center"/>
    </xf>
    <xf numFmtId="0" fontId="3" fillId="14" borderId="16" xfId="0" applyFont="1" applyFill="1" applyBorder="1" applyAlignment="1">
      <alignment horizontal="left" vertical="center" wrapText="1"/>
    </xf>
    <xf numFmtId="4" fontId="7" fillId="14" borderId="16" xfId="0" applyNumberFormat="1" applyFont="1" applyFill="1" applyBorder="1" applyAlignment="1">
      <alignment horizontal="right" vertical="center"/>
    </xf>
    <xf numFmtId="0" fontId="3" fillId="14" borderId="16" xfId="0" applyFont="1" applyFill="1" applyBorder="1" applyAlignment="1">
      <alignment horizontal="center" vertical="center"/>
    </xf>
    <xf numFmtId="164" fontId="3" fillId="14" borderId="16" xfId="0" applyNumberFormat="1" applyFont="1" applyFill="1" applyBorder="1" applyAlignment="1">
      <alignment horizontal="right" vertical="center"/>
    </xf>
    <xf numFmtId="164" fontId="7" fillId="14" borderId="16" xfId="0" applyNumberFormat="1" applyFont="1" applyFill="1" applyBorder="1" applyAlignment="1">
      <alignment horizontal="right" vertical="center"/>
    </xf>
    <xf numFmtId="0" fontId="0" fillId="14" borderId="17" xfId="0" applyFill="1" applyBorder="1"/>
    <xf numFmtId="164" fontId="0" fillId="14" borderId="16" xfId="0" applyNumberFormat="1" applyFill="1" applyBorder="1" applyAlignment="1">
      <alignment horizontal="right" vertical="center"/>
    </xf>
    <xf numFmtId="164" fontId="0" fillId="14" borderId="18" xfId="0" applyNumberFormat="1" applyFill="1" applyBorder="1" applyAlignment="1">
      <alignment horizontal="right" vertical="center"/>
    </xf>
    <xf numFmtId="0" fontId="3" fillId="2" borderId="15" xfId="0" applyFont="1" applyFill="1" applyBorder="1" applyAlignment="1">
      <alignment horizontal="left" vertical="center"/>
    </xf>
    <xf numFmtId="0" fontId="3" fillId="2" borderId="8" xfId="0" applyFont="1" applyFill="1" applyBorder="1" applyAlignment="1">
      <alignment horizontal="left" vertical="center"/>
    </xf>
    <xf numFmtId="0" fontId="3" fillId="15" borderId="16" xfId="0" applyFont="1" applyFill="1" applyBorder="1" applyAlignment="1">
      <alignment horizontal="center" vertical="center"/>
    </xf>
    <xf numFmtId="0" fontId="0" fillId="16" borderId="17" xfId="0" applyFill="1" applyBorder="1"/>
    <xf numFmtId="164" fontId="0" fillId="16" borderId="16" xfId="0" applyNumberFormat="1" applyFill="1" applyBorder="1" applyAlignment="1">
      <alignment horizontal="right" vertical="center"/>
    </xf>
    <xf numFmtId="164" fontId="0" fillId="16" borderId="18" xfId="0" applyNumberFormat="1" applyFill="1" applyBorder="1" applyAlignment="1">
      <alignment horizontal="right" vertical="center"/>
    </xf>
    <xf numFmtId="0" fontId="0" fillId="0" borderId="19" xfId="0" applyBorder="1"/>
    <xf numFmtId="164" fontId="7" fillId="0" borderId="19" xfId="0" applyNumberFormat="1" applyFont="1" applyBorder="1" applyAlignment="1">
      <alignment horizontal="right" vertical="center"/>
    </xf>
    <xf numFmtId="164" fontId="7" fillId="0" borderId="21" xfId="0" applyNumberFormat="1" applyFont="1" applyBorder="1" applyAlignment="1">
      <alignment horizontal="right" vertical="center"/>
    </xf>
    <xf numFmtId="0" fontId="8" fillId="16" borderId="15" xfId="0" applyFont="1" applyFill="1" applyBorder="1" applyAlignment="1">
      <alignment horizontal="center" vertical="center"/>
    </xf>
    <xf numFmtId="0" fontId="3" fillId="16" borderId="16" xfId="0" applyFont="1" applyFill="1" applyBorder="1" applyAlignment="1">
      <alignment horizontal="left" vertical="center" wrapText="1"/>
    </xf>
    <xf numFmtId="4" fontId="7" fillId="16" borderId="16" xfId="0" applyNumberFormat="1" applyFont="1" applyFill="1" applyBorder="1" applyAlignment="1">
      <alignment horizontal="right" vertical="center"/>
    </xf>
    <xf numFmtId="0" fontId="3" fillId="16" borderId="16" xfId="0" applyFont="1" applyFill="1" applyBorder="1" applyAlignment="1">
      <alignment horizontal="center" vertical="center"/>
    </xf>
    <xf numFmtId="164" fontId="3" fillId="16" borderId="16" xfId="0" applyNumberFormat="1" applyFont="1" applyFill="1" applyBorder="1" applyAlignment="1">
      <alignment horizontal="right" vertical="center"/>
    </xf>
    <xf numFmtId="164" fontId="7" fillId="16" borderId="16" xfId="0" applyNumberFormat="1" applyFont="1" applyFill="1" applyBorder="1" applyAlignment="1">
      <alignment horizontal="right" vertical="center"/>
    </xf>
    <xf numFmtId="0" fontId="0" fillId="0" borderId="27" xfId="0" applyBorder="1"/>
    <xf numFmtId="0" fontId="0" fillId="0" borderId="28" xfId="0" applyBorder="1"/>
    <xf numFmtId="0" fontId="8" fillId="0" borderId="29" xfId="0" applyFont="1" applyBorder="1" applyAlignment="1">
      <alignment horizontal="center" vertical="center"/>
    </xf>
    <xf numFmtId="0" fontId="3" fillId="0" borderId="30" xfId="0" applyFont="1" applyBorder="1" applyAlignment="1">
      <alignment horizontal="left" vertical="center" wrapText="1"/>
    </xf>
    <xf numFmtId="4" fontId="7" fillId="0" borderId="30" xfId="0" applyNumberFormat="1" applyFont="1" applyBorder="1" applyAlignment="1">
      <alignment horizontal="right" vertical="center"/>
    </xf>
    <xf numFmtId="0" fontId="3" fillId="0" borderId="30" xfId="0" applyFont="1" applyBorder="1" applyAlignment="1">
      <alignment horizontal="center" vertical="center"/>
    </xf>
    <xf numFmtId="164" fontId="3" fillId="0" borderId="30" xfId="0" applyNumberFormat="1" applyFont="1" applyBorder="1" applyAlignment="1">
      <alignment horizontal="right" vertical="center"/>
    </xf>
    <xf numFmtId="164" fontId="7" fillId="0" borderId="30" xfId="0" applyNumberFormat="1" applyFont="1" applyBorder="1" applyAlignment="1">
      <alignment horizontal="right" vertical="center"/>
    </xf>
    <xf numFmtId="0" fontId="8" fillId="18" borderId="15" xfId="0" applyFont="1" applyFill="1" applyBorder="1" applyAlignment="1">
      <alignment horizontal="center" vertical="center"/>
    </xf>
    <xf numFmtId="0" fontId="3" fillId="18" borderId="16" xfId="0" applyFont="1" applyFill="1" applyBorder="1" applyAlignment="1">
      <alignment horizontal="left" vertical="center" wrapText="1"/>
    </xf>
    <xf numFmtId="4" fontId="7" fillId="18" borderId="16" xfId="0" applyNumberFormat="1" applyFont="1" applyFill="1" applyBorder="1" applyAlignment="1">
      <alignment horizontal="right" vertical="center"/>
    </xf>
    <xf numFmtId="0" fontId="3" fillId="18" borderId="16" xfId="0" applyFont="1" applyFill="1" applyBorder="1" applyAlignment="1">
      <alignment horizontal="center" vertical="center"/>
    </xf>
    <xf numFmtId="164" fontId="3" fillId="18" borderId="16" xfId="0" applyNumberFormat="1" applyFont="1" applyFill="1" applyBorder="1" applyAlignment="1">
      <alignment horizontal="right" vertical="center"/>
    </xf>
    <xf numFmtId="164" fontId="7" fillId="18" borderId="16" xfId="0" applyNumberFormat="1" applyFont="1" applyFill="1" applyBorder="1" applyAlignment="1">
      <alignment horizontal="right" vertical="center"/>
    </xf>
    <xf numFmtId="0" fontId="0" fillId="18" borderId="17" xfId="0" applyFill="1" applyBorder="1"/>
    <xf numFmtId="164" fontId="0" fillId="18" borderId="16" xfId="0" applyNumberFormat="1" applyFill="1" applyBorder="1" applyAlignment="1">
      <alignment horizontal="right" vertical="center"/>
    </xf>
    <xf numFmtId="164" fontId="0" fillId="18" borderId="18" xfId="0" applyNumberFormat="1" applyFill="1" applyBorder="1" applyAlignment="1">
      <alignment horizontal="right" vertical="center"/>
    </xf>
    <xf numFmtId="4" fontId="24" fillId="2" borderId="16" xfId="0" applyNumberFormat="1" applyFont="1" applyFill="1" applyBorder="1" applyAlignment="1">
      <alignment horizontal="center" vertical="center"/>
    </xf>
    <xf numFmtId="0" fontId="24" fillId="2" borderId="16" xfId="0" applyFont="1" applyFill="1" applyBorder="1" applyAlignment="1">
      <alignment horizontal="center" vertical="center"/>
    </xf>
    <xf numFmtId="0" fontId="24" fillId="0" borderId="16" xfId="0" applyFont="1" applyBorder="1" applyAlignment="1">
      <alignment horizontal="left" vertical="center" wrapText="1"/>
    </xf>
    <xf numFmtId="0" fontId="24" fillId="9" borderId="16" xfId="0" applyFont="1" applyFill="1" applyBorder="1" applyAlignment="1">
      <alignment horizontal="left" vertical="center" wrapText="1"/>
    </xf>
    <xf numFmtId="0" fontId="6" fillId="5" borderId="6" xfId="0" applyFont="1" applyFill="1" applyBorder="1" applyAlignment="1">
      <alignment horizontal="left" vertical="center" wrapText="1"/>
    </xf>
    <xf numFmtId="164" fontId="0" fillId="0" borderId="15" xfId="0" applyNumberFormat="1" applyBorder="1" applyAlignment="1">
      <alignment horizontal="center" vertical="center"/>
    </xf>
    <xf numFmtId="164" fontId="0" fillId="2" borderId="15" xfId="0" applyNumberFormat="1" applyFill="1" applyBorder="1" applyAlignment="1">
      <alignment horizontal="center" vertical="center"/>
    </xf>
    <xf numFmtId="164" fontId="0" fillId="19" borderId="15" xfId="0" applyNumberFormat="1" applyFill="1" applyBorder="1" applyAlignment="1">
      <alignment horizontal="center" vertical="center"/>
    </xf>
    <xf numFmtId="164" fontId="0" fillId="20" borderId="15" xfId="0" applyNumberFormat="1" applyFill="1" applyBorder="1" applyAlignment="1">
      <alignment horizontal="center" vertical="center"/>
    </xf>
    <xf numFmtId="164" fontId="0" fillId="7" borderId="15" xfId="0" applyNumberFormat="1" applyFill="1" applyBorder="1" applyAlignment="1">
      <alignment horizontal="center" vertical="center"/>
    </xf>
    <xf numFmtId="164" fontId="7" fillId="3" borderId="6" xfId="0" applyNumberFormat="1" applyFont="1" applyFill="1" applyBorder="1" applyAlignment="1">
      <alignment horizontal="center" vertical="center"/>
    </xf>
    <xf numFmtId="0" fontId="0" fillId="0" borderId="33" xfId="0" applyBorder="1"/>
    <xf numFmtId="0" fontId="24" fillId="0" borderId="16" xfId="0" applyFont="1" applyBorder="1" applyAlignment="1">
      <alignment horizontal="center" vertical="center"/>
    </xf>
    <xf numFmtId="0" fontId="1" fillId="0" borderId="0" xfId="0" applyFont="1"/>
    <xf numFmtId="0" fontId="2" fillId="0" borderId="0" xfId="0" applyFont="1"/>
    <xf numFmtId="0" fontId="3" fillId="0" borderId="0" xfId="0" applyFont="1"/>
    <xf numFmtId="0" fontId="4" fillId="2" borderId="1" xfId="0" applyFont="1" applyFill="1" applyBorder="1"/>
    <xf numFmtId="0" fontId="5" fillId="3" borderId="2" xfId="0" applyFont="1" applyFill="1" applyBorder="1" applyAlignment="1">
      <alignment horizontal="left" vertical="center" wrapText="1"/>
    </xf>
    <xf numFmtId="0" fontId="6" fillId="5" borderId="6" xfId="0" applyFont="1" applyFill="1" applyBorder="1" applyAlignment="1">
      <alignment horizontal="left" vertical="center" wrapText="1"/>
    </xf>
    <xf numFmtId="0" fontId="7" fillId="3" borderId="6" xfId="0" applyFont="1" applyFill="1" applyBorder="1" applyAlignment="1">
      <alignment horizontal="left" vertical="center"/>
    </xf>
    <xf numFmtId="0" fontId="25" fillId="5" borderId="6" xfId="0" applyFont="1" applyFill="1" applyBorder="1" applyAlignment="1">
      <alignment horizontal="left" vertical="center" wrapText="1"/>
    </xf>
    <xf numFmtId="0" fontId="8" fillId="0" borderId="15" xfId="0" applyFont="1" applyBorder="1" applyAlignment="1">
      <alignment horizontal="center" vertical="center"/>
    </xf>
    <xf numFmtId="0" fontId="8" fillId="2" borderId="15" xfId="0" applyFont="1" applyFill="1" applyBorder="1" applyAlignment="1">
      <alignment horizontal="center" vertical="center"/>
    </xf>
    <xf numFmtId="0" fontId="7" fillId="0" borderId="6" xfId="0" applyFont="1" applyBorder="1" applyAlignment="1">
      <alignment horizontal="left" vertical="center"/>
    </xf>
    <xf numFmtId="0" fontId="23" fillId="17" borderId="1" xfId="0" applyFont="1" applyFill="1" applyBorder="1" applyAlignment="1">
      <alignment horizontal="left" vertical="center"/>
    </xf>
    <xf numFmtId="0" fontId="23" fillId="17" borderId="32" xfId="0" applyFont="1" applyFill="1" applyBorder="1" applyAlignment="1">
      <alignment horizontal="left" vertical="center"/>
    </xf>
    <xf numFmtId="0" fontId="23" fillId="17" borderId="25" xfId="0" applyFont="1" applyFill="1" applyBorder="1" applyAlignment="1">
      <alignment horizontal="left" vertical="center"/>
    </xf>
    <xf numFmtId="0" fontId="23" fillId="17" borderId="2" xfId="0" applyFont="1" applyFill="1" applyBorder="1" applyAlignment="1">
      <alignment horizontal="left" vertical="center"/>
    </xf>
    <xf numFmtId="0" fontId="23" fillId="17" borderId="26" xfId="0" applyFont="1" applyFill="1" applyBorder="1" applyAlignment="1">
      <alignment horizontal="left" vertical="center"/>
    </xf>
    <xf numFmtId="0" fontId="2" fillId="3" borderId="6" xfId="0" applyFont="1" applyFill="1" applyBorder="1"/>
    <xf numFmtId="0" fontId="3" fillId="2" borderId="15" xfId="0" applyFont="1" applyFill="1" applyBorder="1"/>
    <xf numFmtId="0" fontId="0" fillId="0" borderId="0" xfId="0"/>
    <xf numFmtId="0" fontId="11" fillId="3" borderId="6" xfId="0" applyFont="1" applyFill="1" applyBorder="1"/>
    <xf numFmtId="0" fontId="12" fillId="4" borderId="22" xfId="0" applyFont="1" applyFill="1" applyBorder="1" applyAlignment="1">
      <alignment horizontal="left" vertical="center"/>
    </xf>
    <xf numFmtId="0" fontId="6" fillId="5" borderId="34" xfId="0" applyFont="1" applyFill="1" applyBorder="1" applyAlignment="1">
      <alignment horizontal="left" vertical="center" wrapText="1"/>
    </xf>
    <xf numFmtId="0" fontId="26" fillId="21" borderId="35" xfId="0" applyFont="1" applyFill="1" applyBorder="1" applyAlignment="1">
      <alignment horizontal="left" vertical="center"/>
    </xf>
    <xf numFmtId="0" fontId="26" fillId="21" borderId="36" xfId="0" applyFont="1" applyFill="1" applyBorder="1" applyAlignment="1">
      <alignment horizontal="left" vertical="center"/>
    </xf>
    <xf numFmtId="0" fontId="26" fillId="21" borderId="37" xfId="0" applyFont="1" applyFill="1" applyBorder="1" applyAlignment="1">
      <alignment horizontal="left" vertical="center"/>
    </xf>
    <xf numFmtId="0" fontId="2" fillId="3" borderId="6" xfId="0" applyFont="1" applyFill="1" applyBorder="1" applyAlignment="1">
      <alignment horizontal="left" vertical="center"/>
    </xf>
    <xf numFmtId="0" fontId="3" fillId="2" borderId="8" xfId="0" applyFont="1" applyFill="1" applyBorder="1" applyAlignment="1">
      <alignment horizontal="left" vertical="center"/>
    </xf>
    <xf numFmtId="0" fontId="3" fillId="2" borderId="15" xfId="0" applyFont="1" applyFill="1" applyBorder="1" applyAlignment="1">
      <alignment horizontal="left" vertical="center"/>
    </xf>
    <xf numFmtId="0" fontId="4" fillId="0" borderId="0" xfId="0" applyFont="1" applyAlignment="1">
      <alignment horizontal="left" vertical="center" wrapText="1"/>
    </xf>
    <xf numFmtId="0" fontId="7" fillId="12" borderId="12" xfId="0" applyFont="1" applyFill="1" applyBorder="1"/>
    <xf numFmtId="0" fontId="17" fillId="0" borderId="0" xfId="0" applyFont="1"/>
    <xf numFmtId="0" fontId="18" fillId="2" borderId="1" xfId="0" applyFont="1" applyFill="1" applyBorder="1"/>
    <xf numFmtId="0" fontId="4" fillId="2" borderId="2" xfId="0" applyFont="1" applyFill="1" applyBorder="1" applyAlignment="1">
      <alignment horizontal="left" vertical="center" wrapText="1"/>
    </xf>
    <xf numFmtId="0" fontId="2" fillId="3" borderId="15" xfId="0" applyFont="1" applyFill="1" applyBorder="1"/>
    <xf numFmtId="0" fontId="18" fillId="2" borderId="24" xfId="0" applyFont="1" applyFill="1" applyBorder="1"/>
    <xf numFmtId="0" fontId="21" fillId="2" borderId="2" xfId="0" applyFont="1" applyFill="1" applyBorder="1" applyAlignment="1">
      <alignment horizontal="left" vertical="center" wrapText="1"/>
    </xf>
    <xf numFmtId="0" fontId="19" fillId="0" borderId="0" xfId="0" applyFont="1"/>
    <xf numFmtId="0" fontId="0" fillId="0" borderId="0" xfId="0" applyAlignment="1">
      <alignment horizontal="center"/>
    </xf>
    <xf numFmtId="164" fontId="0" fillId="6" borderId="15" xfId="0" applyNumberFormat="1" applyFill="1" applyBorder="1" applyAlignment="1">
      <alignment horizontal="center" vertical="center"/>
    </xf>
    <xf numFmtId="164" fontId="0" fillId="18" borderId="15" xfId="0" applyNumberFormat="1" applyFill="1" applyBorder="1" applyAlignment="1">
      <alignment horizontal="center" vertical="center"/>
    </xf>
    <xf numFmtId="164" fontId="0" fillId="16" borderId="15" xfId="0" applyNumberFormat="1" applyFill="1" applyBorder="1" applyAlignment="1">
      <alignment horizontal="center" vertical="center"/>
    </xf>
    <xf numFmtId="164" fontId="0" fillId="8" borderId="15" xfId="0" applyNumberFormat="1" applyFill="1" applyBorder="1" applyAlignment="1">
      <alignment horizontal="center" vertical="center"/>
    </xf>
    <xf numFmtId="164" fontId="7" fillId="0" borderId="6" xfId="0" applyNumberFormat="1" applyFont="1" applyBorder="1" applyAlignment="1">
      <alignment horizontal="center" vertical="center"/>
    </xf>
    <xf numFmtId="164" fontId="2" fillId="3" borderId="6" xfId="0" applyNumberFormat="1" applyFont="1" applyFill="1" applyBorder="1" applyAlignment="1">
      <alignment horizontal="center" vertical="center"/>
    </xf>
    <xf numFmtId="164" fontId="0" fillId="2" borderId="8" xfId="0" applyNumberFormat="1" applyFill="1" applyBorder="1" applyAlignment="1">
      <alignment horizontal="center" vertical="center"/>
    </xf>
    <xf numFmtId="164" fontId="0" fillId="14" borderId="15" xfId="0" applyNumberFormat="1" applyFill="1" applyBorder="1" applyAlignment="1">
      <alignment horizontal="center" vertical="center"/>
    </xf>
    <xf numFmtId="0" fontId="8" fillId="0" borderId="15" xfId="0" applyFont="1" applyFill="1" applyBorder="1" applyAlignment="1">
      <alignment horizontal="center" vertical="center"/>
    </xf>
    <xf numFmtId="0" fontId="3" fillId="0" borderId="16" xfId="0" applyFont="1" applyFill="1" applyBorder="1" applyAlignment="1">
      <alignment horizontal="left" vertical="center" wrapText="1"/>
    </xf>
    <xf numFmtId="4" fontId="7" fillId="0" borderId="16" xfId="0" applyNumberFormat="1" applyFont="1" applyFill="1" applyBorder="1" applyAlignment="1">
      <alignment horizontal="right" vertical="center"/>
    </xf>
    <xf numFmtId="0" fontId="3" fillId="0" borderId="16" xfId="0" applyFont="1" applyFill="1" applyBorder="1" applyAlignment="1">
      <alignment horizontal="center" vertical="center"/>
    </xf>
    <xf numFmtId="164" fontId="3" fillId="0" borderId="16" xfId="0" applyNumberFormat="1" applyFont="1" applyFill="1" applyBorder="1" applyAlignment="1">
      <alignment horizontal="right" vertical="center"/>
    </xf>
    <xf numFmtId="164" fontId="7" fillId="0" borderId="16" xfId="0" applyNumberFormat="1" applyFont="1" applyFill="1" applyBorder="1" applyAlignment="1">
      <alignment horizontal="right" vertical="center"/>
    </xf>
    <xf numFmtId="0" fontId="0" fillId="0" borderId="17" xfId="0" applyFill="1" applyBorder="1"/>
    <xf numFmtId="164" fontId="0" fillId="0" borderId="15" xfId="0" applyNumberFormat="1" applyFill="1" applyBorder="1" applyAlignment="1">
      <alignment horizontal="center" vertical="center"/>
    </xf>
    <xf numFmtId="164" fontId="0" fillId="0" borderId="16" xfId="0" applyNumberFormat="1" applyFill="1" applyBorder="1" applyAlignment="1">
      <alignment horizontal="right" vertical="center"/>
    </xf>
    <xf numFmtId="164" fontId="0" fillId="0" borderId="18" xfId="0" applyNumberFormat="1" applyFill="1" applyBorder="1" applyAlignment="1">
      <alignment horizontal="right" vertical="center"/>
    </xf>
    <xf numFmtId="0" fontId="8" fillId="6" borderId="29" xfId="0" applyFont="1" applyFill="1" applyBorder="1" applyAlignment="1">
      <alignment horizontal="center" vertical="center"/>
    </xf>
    <xf numFmtId="0" fontId="9" fillId="6" borderId="30" xfId="0" applyFont="1" applyFill="1" applyBorder="1" applyAlignment="1">
      <alignment horizontal="left" vertical="center" wrapText="1"/>
    </xf>
    <xf numFmtId="0" fontId="3" fillId="6" borderId="30" xfId="0" applyFont="1" applyFill="1" applyBorder="1" applyAlignment="1">
      <alignment horizontal="center" vertical="center"/>
    </xf>
    <xf numFmtId="164" fontId="3" fillId="6" borderId="30" xfId="0" applyNumberFormat="1" applyFont="1" applyFill="1" applyBorder="1" applyAlignment="1">
      <alignment horizontal="right" vertical="center"/>
    </xf>
    <xf numFmtId="164" fontId="7" fillId="6" borderId="30" xfId="0" applyNumberFormat="1" applyFont="1" applyFill="1" applyBorder="1" applyAlignment="1">
      <alignment horizontal="right" vertical="center"/>
    </xf>
    <xf numFmtId="0" fontId="6" fillId="5" borderId="39" xfId="0" applyFont="1" applyFill="1" applyBorder="1" applyAlignment="1">
      <alignment horizontal="left" vertical="center" wrapText="1"/>
    </xf>
    <xf numFmtId="0" fontId="6" fillId="5" borderId="40" xfId="0" applyFont="1" applyFill="1" applyBorder="1" applyAlignment="1">
      <alignment horizontal="left" vertical="center" wrapText="1"/>
    </xf>
    <xf numFmtId="0" fontId="6" fillId="5" borderId="41" xfId="0" applyFont="1" applyFill="1" applyBorder="1" applyAlignment="1">
      <alignment horizontal="left" vertical="center" wrapText="1"/>
    </xf>
    <xf numFmtId="0" fontId="8" fillId="2" borderId="42" xfId="0" applyFont="1" applyFill="1" applyBorder="1" applyAlignment="1">
      <alignment horizontal="center" vertical="center"/>
    </xf>
    <xf numFmtId="0" fontId="6" fillId="5" borderId="43" xfId="0" applyFont="1" applyFill="1" applyBorder="1" applyAlignment="1">
      <alignment horizontal="left" vertical="center" wrapText="1"/>
    </xf>
    <xf numFmtId="0" fontId="6" fillId="5" borderId="44" xfId="0" applyFont="1" applyFill="1" applyBorder="1" applyAlignment="1">
      <alignment horizontal="left" vertical="center" wrapText="1"/>
    </xf>
    <xf numFmtId="4" fontId="24" fillId="6" borderId="30" xfId="0" applyNumberFormat="1" applyFont="1" applyFill="1" applyBorder="1" applyAlignment="1">
      <alignment horizontal="right" vertical="center"/>
    </xf>
    <xf numFmtId="4" fontId="24" fillId="0" borderId="16" xfId="0" applyNumberFormat="1" applyFont="1" applyBorder="1" applyAlignment="1">
      <alignment horizontal="right" vertical="center"/>
    </xf>
    <xf numFmtId="4" fontId="24" fillId="6" borderId="16" xfId="0" applyNumberFormat="1" applyFont="1" applyFill="1" applyBorder="1" applyAlignment="1">
      <alignment horizontal="right" vertical="center"/>
    </xf>
    <xf numFmtId="4" fontId="24" fillId="7" borderId="16" xfId="0" applyNumberFormat="1" applyFont="1" applyFill="1" applyBorder="1" applyAlignment="1">
      <alignment horizontal="right" vertical="center"/>
    </xf>
    <xf numFmtId="164" fontId="0" fillId="22" borderId="15" xfId="0" applyNumberFormat="1" applyFill="1" applyBorder="1" applyAlignment="1">
      <alignment horizontal="center" vertical="center"/>
    </xf>
    <xf numFmtId="0" fontId="28" fillId="23" borderId="19" xfId="0" applyFont="1" applyFill="1" applyBorder="1" applyAlignment="1">
      <alignment horizontal="right"/>
    </xf>
    <xf numFmtId="164" fontId="29" fillId="23" borderId="19" xfId="0" applyNumberFormat="1" applyFont="1" applyFill="1" applyBorder="1" applyAlignment="1">
      <alignment horizontal="right" vertical="center"/>
    </xf>
    <xf numFmtId="0" fontId="29" fillId="0" borderId="16" xfId="0" applyFont="1" applyBorder="1" applyAlignment="1">
      <alignment horizontal="left" vertical="center" wrapText="1"/>
    </xf>
    <xf numFmtId="0" fontId="8" fillId="0" borderId="42" xfId="0" applyFont="1" applyBorder="1" applyAlignment="1">
      <alignment horizontal="center" vertical="center"/>
    </xf>
    <xf numFmtId="0" fontId="24" fillId="6" borderId="16" xfId="0" applyFont="1" applyFill="1" applyBorder="1" applyAlignment="1">
      <alignment horizontal="left" vertical="center" wrapText="1"/>
    </xf>
    <xf numFmtId="164" fontId="29" fillId="24" borderId="16" xfId="0" applyNumberFormat="1" applyFont="1" applyFill="1" applyBorder="1" applyAlignment="1">
      <alignment horizontal="right" vertical="center"/>
    </xf>
    <xf numFmtId="164" fontId="3" fillId="24" borderId="16" xfId="0" applyNumberFormat="1" applyFont="1" applyFill="1" applyBorder="1" applyAlignment="1">
      <alignment horizontal="right" vertical="center"/>
    </xf>
    <xf numFmtId="0" fontId="25" fillId="17" borderId="31" xfId="0" applyFont="1" applyFill="1" applyBorder="1" applyAlignment="1">
      <alignment horizontal="left" vertical="center"/>
    </xf>
    <xf numFmtId="0" fontId="29" fillId="3" borderId="8" xfId="0" applyFont="1" applyFill="1" applyBorder="1" applyAlignment="1">
      <alignment horizontal="center" vertical="center"/>
    </xf>
    <xf numFmtId="164" fontId="0" fillId="0" borderId="18" xfId="0" applyNumberFormat="1" applyBorder="1" applyAlignment="1">
      <alignment horizontal="center" vertical="center"/>
    </xf>
    <xf numFmtId="0" fontId="0" fillId="3" borderId="18" xfId="0" applyFill="1" applyBorder="1" applyAlignment="1">
      <alignment horizontal="center"/>
    </xf>
    <xf numFmtId="0" fontId="0" fillId="2" borderId="18" xfId="0" applyFill="1" applyBorder="1" applyAlignment="1">
      <alignment horizontal="center"/>
    </xf>
    <xf numFmtId="0" fontId="0" fillId="3" borderId="21" xfId="0" applyFill="1" applyBorder="1" applyAlignment="1">
      <alignment horizontal="center"/>
    </xf>
    <xf numFmtId="0" fontId="20" fillId="11" borderId="10" xfId="0" applyFont="1" applyFill="1" applyBorder="1" applyAlignment="1">
      <alignment horizontal="center" vertical="center" wrapText="1"/>
    </xf>
    <xf numFmtId="0" fontId="20" fillId="2" borderId="18" xfId="0" applyFont="1" applyFill="1" applyBorder="1" applyAlignment="1">
      <alignment horizontal="center" vertical="center" wrapText="1"/>
    </xf>
    <xf numFmtId="0" fontId="20" fillId="11" borderId="18" xfId="0" applyFont="1" applyFill="1" applyBorder="1" applyAlignment="1">
      <alignment horizontal="center" vertical="center" wrapText="1"/>
    </xf>
    <xf numFmtId="164" fontId="7" fillId="12" borderId="14" xfId="0" applyNumberFormat="1" applyFont="1" applyFill="1" applyBorder="1" applyAlignment="1">
      <alignment horizontal="center" vertical="center"/>
    </xf>
    <xf numFmtId="164" fontId="11" fillId="3" borderId="19" xfId="0" applyNumberFormat="1" applyFont="1" applyFill="1" applyBorder="1" applyAlignment="1">
      <alignment horizontal="center" vertical="center"/>
    </xf>
    <xf numFmtId="164" fontId="11" fillId="10" borderId="20" xfId="0" applyNumberFormat="1" applyFont="1" applyFill="1" applyBorder="1" applyAlignment="1">
      <alignment horizontal="center" vertical="center"/>
    </xf>
    <xf numFmtId="0" fontId="8" fillId="11" borderId="47" xfId="0" applyFont="1" applyFill="1" applyBorder="1" applyAlignment="1">
      <alignment horizontal="left" vertical="center" wrapText="1"/>
    </xf>
    <xf numFmtId="0" fontId="7" fillId="11" borderId="48" xfId="0" applyFont="1" applyFill="1" applyBorder="1" applyAlignment="1">
      <alignment horizontal="left" vertical="center" wrapText="1"/>
    </xf>
    <xf numFmtId="164" fontId="3" fillId="11" borderId="48" xfId="0" applyNumberFormat="1" applyFont="1" applyFill="1" applyBorder="1" applyAlignment="1">
      <alignment horizontal="right" vertical="center"/>
    </xf>
    <xf numFmtId="164" fontId="3" fillId="10" borderId="49" xfId="0" applyNumberFormat="1" applyFont="1" applyFill="1" applyBorder="1" applyAlignment="1">
      <alignment horizontal="right" vertical="center"/>
    </xf>
    <xf numFmtId="164" fontId="7" fillId="11" borderId="48" xfId="0" applyNumberFormat="1" applyFont="1" applyFill="1" applyBorder="1" applyAlignment="1">
      <alignment horizontal="right" vertical="center"/>
    </xf>
    <xf numFmtId="0" fontId="20" fillId="11" borderId="50" xfId="0" applyFont="1" applyFill="1" applyBorder="1" applyAlignment="1">
      <alignment horizontal="center" vertical="center" wrapText="1"/>
    </xf>
    <xf numFmtId="0" fontId="8" fillId="11" borderId="51" xfId="0" applyFont="1" applyFill="1" applyBorder="1" applyAlignment="1">
      <alignment horizontal="left" vertical="center" wrapText="1"/>
    </xf>
    <xf numFmtId="0" fontId="7" fillId="11" borderId="52" xfId="0" applyFont="1" applyFill="1" applyBorder="1" applyAlignment="1">
      <alignment horizontal="left" vertical="center" wrapText="1"/>
    </xf>
    <xf numFmtId="164" fontId="3" fillId="11" borderId="52" xfId="0" applyNumberFormat="1" applyFont="1" applyFill="1" applyBorder="1" applyAlignment="1">
      <alignment horizontal="right" vertical="center"/>
    </xf>
    <xf numFmtId="164" fontId="3" fillId="10" borderId="46" xfId="0" applyNumberFormat="1" applyFont="1" applyFill="1" applyBorder="1" applyAlignment="1">
      <alignment horizontal="right" vertical="center"/>
    </xf>
    <xf numFmtId="164" fontId="7" fillId="11" borderId="52" xfId="0" applyNumberFormat="1" applyFont="1" applyFill="1" applyBorder="1" applyAlignment="1">
      <alignment horizontal="right" vertical="center"/>
    </xf>
    <xf numFmtId="0" fontId="20" fillId="11" borderId="53" xfId="0" applyFont="1" applyFill="1" applyBorder="1" applyAlignment="1">
      <alignment horizontal="center" vertical="center" wrapText="1"/>
    </xf>
    <xf numFmtId="10" fontId="29" fillId="2" borderId="9" xfId="0" applyNumberFormat="1" applyFont="1" applyFill="1" applyBorder="1" applyAlignment="1">
      <alignment horizontal="right" vertical="center"/>
    </xf>
    <xf numFmtId="0" fontId="30" fillId="0" borderId="0" xfId="0" applyFont="1" applyAlignment="1">
      <alignment vertical="top"/>
    </xf>
    <xf numFmtId="0" fontId="31" fillId="0" borderId="0" xfId="0" applyFont="1" applyAlignment="1">
      <alignment vertical="top"/>
    </xf>
    <xf numFmtId="0" fontId="32" fillId="0" borderId="0" xfId="0" applyFont="1" applyAlignment="1">
      <alignment vertical="top"/>
    </xf>
    <xf numFmtId="0" fontId="33" fillId="0" borderId="0" xfId="0" applyFont="1" applyAlignment="1">
      <alignment vertical="top"/>
    </xf>
    <xf numFmtId="0" fontId="13" fillId="0" borderId="0" xfId="0" applyFont="1" applyAlignment="1">
      <alignment vertical="top"/>
    </xf>
    <xf numFmtId="1" fontId="34" fillId="25" borderId="0" xfId="0" applyNumberFormat="1" applyFont="1" applyFill="1" applyAlignment="1">
      <alignment horizontal="right" vertical="top"/>
    </xf>
    <xf numFmtId="0" fontId="35" fillId="0" borderId="0" xfId="0" applyFont="1" applyAlignment="1">
      <alignment vertical="top" wrapText="1" indent="1"/>
    </xf>
    <xf numFmtId="167" fontId="13" fillId="0" borderId="0" xfId="0" applyNumberFormat="1" applyFont="1" applyAlignment="1">
      <alignment horizontal="right" vertical="top"/>
    </xf>
    <xf numFmtId="168" fontId="34" fillId="25" borderId="0" xfId="0" applyNumberFormat="1" applyFont="1" applyFill="1" applyAlignment="1">
      <alignment horizontal="right" vertical="top"/>
    </xf>
    <xf numFmtId="169" fontId="34" fillId="25" borderId="0" xfId="0" applyNumberFormat="1" applyFont="1" applyFill="1" applyAlignment="1">
      <alignment horizontal="right" vertical="top"/>
    </xf>
    <xf numFmtId="9" fontId="34" fillId="0" borderId="0" xfId="0" applyNumberFormat="1" applyFont="1" applyAlignment="1">
      <alignment horizontal="right" vertical="top"/>
    </xf>
    <xf numFmtId="170" fontId="34" fillId="0" borderId="0" xfId="0" applyNumberFormat="1" applyFont="1" applyAlignment="1">
      <alignment horizontal="right" vertical="top"/>
    </xf>
    <xf numFmtId="1" fontId="34" fillId="0" borderId="0" xfId="0" applyNumberFormat="1" applyFont="1" applyAlignment="1">
      <alignment horizontal="right" vertical="top"/>
    </xf>
    <xf numFmtId="168" fontId="34" fillId="0" borderId="0" xfId="0" applyNumberFormat="1" applyFont="1" applyAlignment="1">
      <alignment horizontal="right" vertical="top"/>
    </xf>
    <xf numFmtId="0" fontId="36" fillId="26" borderId="0" xfId="0" applyFont="1" applyFill="1" applyAlignment="1">
      <alignment horizontal="left" vertical="center"/>
    </xf>
    <xf numFmtId="0" fontId="36" fillId="26" borderId="0" xfId="0" applyFont="1" applyFill="1" applyAlignment="1">
      <alignment horizontal="right" vertical="center"/>
    </xf>
    <xf numFmtId="0" fontId="36" fillId="26" borderId="0" xfId="0" applyFont="1" applyFill="1" applyAlignment="1">
      <alignment horizontal="left" vertical="center" indent="1"/>
    </xf>
    <xf numFmtId="0" fontId="33" fillId="27" borderId="0" xfId="0" applyFont="1" applyFill="1" applyAlignment="1">
      <alignment vertical="top"/>
    </xf>
    <xf numFmtId="0" fontId="0" fillId="27" borderId="0" xfId="0" applyFill="1"/>
    <xf numFmtId="0" fontId="35" fillId="0" borderId="0" xfId="0" applyFont="1" applyAlignment="1">
      <alignment vertical="top"/>
    </xf>
    <xf numFmtId="0" fontId="13" fillId="0" borderId="0" xfId="0" applyFont="1" applyAlignment="1">
      <alignment vertical="top" wrapText="1"/>
    </xf>
    <xf numFmtId="171" fontId="13" fillId="0" borderId="0" xfId="0" applyNumberFormat="1" applyFont="1" applyAlignment="1">
      <alignment horizontal="right" vertical="top"/>
    </xf>
    <xf numFmtId="0" fontId="13" fillId="0" borderId="0" xfId="0" applyFont="1" applyAlignment="1">
      <alignment vertical="top" indent="1"/>
    </xf>
    <xf numFmtId="170" fontId="13" fillId="0" borderId="0" xfId="0" applyNumberFormat="1" applyFont="1" applyAlignment="1">
      <alignment horizontal="right" vertical="top"/>
    </xf>
    <xf numFmtId="168" fontId="13" fillId="0" borderId="0" xfId="0" applyNumberFormat="1" applyFont="1" applyAlignment="1">
      <alignment horizontal="right" vertical="top"/>
    </xf>
    <xf numFmtId="3" fontId="34" fillId="0" borderId="0" xfId="0" applyNumberFormat="1" applyFont="1" applyAlignment="1">
      <alignment horizontal="right" vertical="top"/>
    </xf>
    <xf numFmtId="168" fontId="33" fillId="0" borderId="54" xfId="0" applyNumberFormat="1" applyFont="1" applyBorder="1" applyAlignment="1">
      <alignment horizontal="right" vertical="top"/>
    </xf>
    <xf numFmtId="0" fontId="0" fillId="0" borderId="55" xfId="0" applyBorder="1"/>
    <xf numFmtId="0" fontId="37" fillId="0" borderId="55" xfId="0" applyFont="1" applyBorder="1" applyAlignment="1">
      <alignment vertical="top"/>
    </xf>
    <xf numFmtId="168" fontId="37" fillId="0" borderId="55" xfId="0" applyNumberFormat="1" applyFont="1" applyBorder="1" applyAlignment="1">
      <alignment horizontal="right" vertical="top"/>
    </xf>
    <xf numFmtId="169" fontId="13" fillId="0" borderId="0" xfId="0" applyNumberFormat="1" applyFont="1" applyAlignment="1">
      <alignment horizontal="right" vertical="top"/>
    </xf>
    <xf numFmtId="0" fontId="13" fillId="0" borderId="0" xfId="0" applyFont="1" applyAlignment="1">
      <alignment vertical="top"/>
    </xf>
    <xf numFmtId="0" fontId="38" fillId="0" borderId="0" xfId="0" applyFont="1" applyAlignment="1">
      <alignment vertical="top"/>
    </xf>
    <xf numFmtId="0" fontId="24" fillId="2" borderId="45" xfId="0" applyFont="1" applyFill="1" applyBorder="1" applyAlignment="1">
      <alignment horizontal="left" vertical="center"/>
    </xf>
    <xf numFmtId="0" fontId="29" fillId="2" borderId="16" xfId="0" applyFont="1" applyFill="1" applyBorder="1" applyAlignment="1">
      <alignment horizontal="left" vertical="center" wrapText="1"/>
    </xf>
    <xf numFmtId="0" fontId="7" fillId="3" borderId="29" xfId="0" applyFont="1" applyFill="1" applyBorder="1"/>
    <xf numFmtId="164" fontId="7" fillId="3" borderId="30" xfId="0" applyNumberFormat="1" applyFont="1" applyFill="1" applyBorder="1" applyAlignment="1">
      <alignment horizontal="right" vertical="center"/>
    </xf>
    <xf numFmtId="164" fontId="7" fillId="3" borderId="38" xfId="0" applyNumberFormat="1" applyFont="1" applyFill="1" applyBorder="1" applyAlignment="1">
      <alignment horizontal="center" vertical="center"/>
    </xf>
    <xf numFmtId="0" fontId="8" fillId="11" borderId="56" xfId="0" applyFont="1" applyFill="1" applyBorder="1" applyAlignment="1">
      <alignment horizontal="left" vertical="center" wrapText="1"/>
    </xf>
    <xf numFmtId="0" fontId="7" fillId="11" borderId="57" xfId="0" applyFont="1" applyFill="1" applyBorder="1" applyAlignment="1">
      <alignment horizontal="left" vertical="center" wrapText="1"/>
    </xf>
    <xf numFmtId="164" fontId="3" fillId="11" borderId="57" xfId="0" applyNumberFormat="1" applyFont="1" applyFill="1" applyBorder="1" applyAlignment="1">
      <alignment horizontal="right" vertical="center"/>
    </xf>
    <xf numFmtId="164" fontId="3" fillId="10" borderId="58" xfId="0" applyNumberFormat="1" applyFont="1" applyFill="1" applyBorder="1" applyAlignment="1">
      <alignment horizontal="right" vertical="center"/>
    </xf>
    <xf numFmtId="164" fontId="7" fillId="11" borderId="57" xfId="0" applyNumberFormat="1" applyFont="1" applyFill="1" applyBorder="1" applyAlignment="1">
      <alignment horizontal="right" vertical="center"/>
    </xf>
    <xf numFmtId="0" fontId="20" fillId="11" borderId="59" xfId="0" applyFont="1" applyFill="1" applyBorder="1" applyAlignment="1">
      <alignment horizontal="center" vertical="center" wrapText="1"/>
    </xf>
    <xf numFmtId="0" fontId="8" fillId="11" borderId="60" xfId="0" applyFont="1" applyFill="1" applyBorder="1" applyAlignment="1">
      <alignment horizontal="left" vertical="center" wrapText="1"/>
    </xf>
    <xf numFmtId="0" fontId="7" fillId="11" borderId="61" xfId="0" applyFont="1" applyFill="1" applyBorder="1" applyAlignment="1">
      <alignment horizontal="left" vertical="center" wrapText="1"/>
    </xf>
    <xf numFmtId="164" fontId="3" fillId="11" borderId="61" xfId="0" applyNumberFormat="1" applyFont="1" applyFill="1" applyBorder="1" applyAlignment="1">
      <alignment horizontal="right" vertical="center"/>
    </xf>
    <xf numFmtId="164" fontId="3" fillId="10" borderId="62" xfId="0" applyNumberFormat="1" applyFont="1" applyFill="1" applyBorder="1" applyAlignment="1">
      <alignment horizontal="right" vertical="center"/>
    </xf>
    <xf numFmtId="164" fontId="7" fillId="11" borderId="61" xfId="0" applyNumberFormat="1" applyFont="1" applyFill="1" applyBorder="1" applyAlignment="1">
      <alignment horizontal="right" vertical="center"/>
    </xf>
    <xf numFmtId="0" fontId="20" fillId="11" borderId="63" xfId="0" applyFont="1" applyFill="1" applyBorder="1" applyAlignment="1">
      <alignment horizontal="center" vertical="center" wrapText="1"/>
    </xf>
    <xf numFmtId="169" fontId="41" fillId="0" borderId="0" xfId="0" applyNumberFormat="1" applyFont="1" applyAlignment="1">
      <alignment horizontal="right" vertical="top"/>
    </xf>
    <xf numFmtId="0" fontId="7" fillId="14" borderId="8" xfId="0" applyFont="1" applyFill="1" applyBorder="1" applyAlignment="1">
      <alignment horizontal="left" vertical="top" wrapText="1"/>
    </xf>
    <xf numFmtId="0" fontId="3" fillId="14" borderId="9" xfId="0" applyFont="1" applyFill="1" applyBorder="1" applyAlignment="1">
      <alignment horizontal="left" vertical="top" wrapText="1"/>
    </xf>
    <xf numFmtId="0" fontId="3" fillId="14" borderId="10" xfId="0" applyFont="1" applyFill="1" applyBorder="1" applyAlignment="1">
      <alignment horizontal="left" vertical="top" wrapText="1"/>
    </xf>
    <xf numFmtId="0" fontId="24" fillId="2" borderId="16" xfId="0" applyFont="1" applyFill="1" applyBorder="1" applyAlignment="1">
      <alignment horizontal="left" vertical="center" wrapText="1"/>
    </xf>
  </cellXfs>
  <cellStyles count="1">
    <cellStyle name="Normal" xfId="0" builtinId="0"/>
  </cellStyles>
  <dxfs count="1">
    <dxf>
      <font>
        <b/>
      </font>
      <fill>
        <patternFill>
          <bgColor rgb="FFD6F0D6"/>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B00000"/>
      <rgbColor rgb="FF008000"/>
      <rgbColor rgb="FF000080"/>
      <rgbColor rgb="FF808000"/>
      <rgbColor rgb="FF800080"/>
      <rgbColor rgb="FF008080"/>
      <rgbColor rgb="FFB0B0B0"/>
      <rgbColor rgb="FF7A7A7A"/>
      <rgbColor rgb="FF9999FF"/>
      <rgbColor rgb="FF993366"/>
      <rgbColor rgb="FFFFF6D5"/>
      <rgbColor rgb="FFDDEBF7"/>
      <rgbColor rgb="FF660066"/>
      <rgbColor rgb="FFFF8080"/>
      <rgbColor rgb="FF0066CC"/>
      <rgbColor rgb="FFE4DFEC"/>
      <rgbColor rgb="FF000080"/>
      <rgbColor rgb="FFFF00FF"/>
      <rgbColor rgb="FFFFFF00"/>
      <rgbColor rgb="FF00FFFF"/>
      <rgbColor rgb="FF800080"/>
      <rgbColor rgb="FF800000"/>
      <rgbColor rgb="FF008080"/>
      <rgbColor rgb="FF0000FF"/>
      <rgbColor rgb="FF00CCFF"/>
      <rgbColor rgb="FFE2EFDA"/>
      <rgbColor rgb="FFD6F0D6"/>
      <rgbColor rgb="FFFFE8C2"/>
      <rgbColor rgb="FFE8E8E8"/>
      <rgbColor rgb="FFF5F5F5"/>
      <rgbColor rgb="FFCC99FF"/>
      <rgbColor rgb="FFFFD6D6"/>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A3A3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Matt Nicosia" id="{4A8E95C0-B1CF-4856-8E0B-A3EEC367AE0E}" userId="S::m.nicosia@montanacontracting.com::968607e8-0b25-4a15-a05c-79a6225e1af2" providerId="AD"/>
</personList>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H449" dT="2026-09-30T17:21:35.22" personId="{4A8E95C0-B1CF-4856-8E0B-A3EEC367AE0E}" id="{7862B874-A9A7-40E3-986D-77D9C16F41FD}">
    <text>Removed $20k for MTA work</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40"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106CF1C-88D8-4882-9364-5346EB095DD7}">
  <we:reference id="WA200009404" version="1.0.0.8" store="Omex" storeType="OMEX"/>
  <we:alternateReferences>
    <we:reference id="WA200009404" version="1.0.0.8" store="WA200009404" storeType="OMEX"/>
  </we:alternateReferences>
  <we:properties>
    <we:property name="claude.fileId" value="&quot;3e600094-9f65-488b-8227-7d00c13779a3&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761"/>
  <sheetViews>
    <sheetView showGridLines="0" zoomScaleNormal="100" workbookViewId="0">
      <pane ySplit="8" topLeftCell="A509" activePane="bottomLeft" state="frozen"/>
      <selection pane="bottomLeft" activeCell="K8" sqref="K8"/>
    </sheetView>
  </sheetViews>
  <sheetFormatPr defaultColWidth="8.7109375" defaultRowHeight="15" outlineLevelCol="1" x14ac:dyDescent="0.25"/>
  <cols>
    <col min="1" max="1" width="11" customWidth="1"/>
    <col min="2" max="2" width="56" customWidth="1"/>
    <col min="3" max="3" width="10" customWidth="1"/>
    <col min="4" max="4" width="9" customWidth="1"/>
    <col min="5" max="5" width="13" customWidth="1"/>
    <col min="6" max="6" width="14" customWidth="1"/>
    <col min="7" max="7" width="2.42578125" customWidth="1" outlineLevel="1"/>
    <col min="8" max="8" width="15" style="244" customWidth="1" outlineLevel="1"/>
    <col min="9" max="11" width="15" customWidth="1" outlineLevel="1"/>
  </cols>
  <sheetData>
    <row r="1" spans="1:11" ht="27.75" customHeight="1" x14ac:dyDescent="0.35">
      <c r="A1" s="207" t="s">
        <v>0</v>
      </c>
      <c r="B1" s="207"/>
      <c r="C1" s="207"/>
      <c r="D1" s="207"/>
      <c r="E1" s="207"/>
      <c r="F1" s="207"/>
      <c r="G1" s="207"/>
      <c r="H1" s="207"/>
      <c r="I1" s="207"/>
      <c r="J1" s="207"/>
      <c r="K1" s="207"/>
    </row>
    <row r="2" spans="1:11" x14ac:dyDescent="0.25">
      <c r="A2" s="208" t="s">
        <v>1</v>
      </c>
      <c r="B2" s="208"/>
      <c r="C2" s="208"/>
      <c r="D2" s="208"/>
      <c r="E2" s="208"/>
      <c r="F2" s="208"/>
      <c r="G2" s="208"/>
      <c r="H2" s="208"/>
      <c r="I2" s="208"/>
      <c r="J2" s="208"/>
      <c r="K2" s="208"/>
    </row>
    <row r="3" spans="1:11" hidden="1" x14ac:dyDescent="0.25">
      <c r="A3" s="209" t="s">
        <v>2</v>
      </c>
      <c r="B3" s="209"/>
      <c r="C3" s="209" t="s">
        <v>3</v>
      </c>
      <c r="D3" s="209"/>
      <c r="E3" s="209"/>
      <c r="F3" s="209"/>
      <c r="G3" s="209"/>
      <c r="H3" s="209"/>
      <c r="I3" s="209"/>
      <c r="J3" s="209"/>
      <c r="K3" s="209"/>
    </row>
    <row r="4" spans="1:11" ht="4.5" customHeight="1" x14ac:dyDescent="0.25"/>
    <row r="5" spans="1:11" ht="15.75" hidden="1" customHeight="1" x14ac:dyDescent="0.25">
      <c r="A5" s="210" t="s">
        <v>4</v>
      </c>
      <c r="B5" s="210"/>
      <c r="C5" s="210"/>
      <c r="D5" s="210"/>
      <c r="E5" s="210"/>
      <c r="F5" s="210"/>
      <c r="G5" s="210"/>
      <c r="H5" s="210"/>
      <c r="I5" s="210"/>
      <c r="J5" s="210"/>
      <c r="K5" s="210"/>
    </row>
    <row r="6" spans="1:11" ht="43.5" hidden="1" customHeight="1" x14ac:dyDescent="0.25">
      <c r="A6" s="211" t="s">
        <v>5</v>
      </c>
      <c r="B6" s="211"/>
      <c r="C6" s="211"/>
      <c r="D6" s="211"/>
      <c r="E6" s="211"/>
      <c r="F6" s="211"/>
      <c r="G6" s="211"/>
      <c r="H6" s="211"/>
      <c r="I6" s="211"/>
      <c r="J6" s="211"/>
      <c r="K6" s="211"/>
    </row>
    <row r="7" spans="1:11" ht="6.75" customHeight="1" thickBot="1" x14ac:dyDescent="0.3"/>
    <row r="8" spans="1:11" ht="21.75" customHeight="1" thickBot="1" x14ac:dyDescent="0.3">
      <c r="A8" s="2" t="s">
        <v>6</v>
      </c>
      <c r="B8" s="3" t="s">
        <v>7</v>
      </c>
      <c r="C8" s="4" t="s">
        <v>8</v>
      </c>
      <c r="D8" s="4" t="s">
        <v>9</v>
      </c>
      <c r="E8" s="4" t="s">
        <v>10</v>
      </c>
      <c r="F8" s="4" t="s">
        <v>11</v>
      </c>
      <c r="G8" s="4"/>
      <c r="H8" s="4" t="s">
        <v>12</v>
      </c>
      <c r="I8" s="4" t="s">
        <v>13</v>
      </c>
      <c r="J8" s="4" t="s">
        <v>14</v>
      </c>
      <c r="K8" s="5" t="s">
        <v>15</v>
      </c>
    </row>
    <row r="9" spans="1:11" ht="18.75" customHeight="1" thickBot="1" x14ac:dyDescent="0.3">
      <c r="A9" s="212" t="s">
        <v>16</v>
      </c>
      <c r="B9" s="212"/>
      <c r="C9" s="212"/>
      <c r="D9" s="212"/>
      <c r="E9" s="212"/>
      <c r="F9" s="212"/>
      <c r="G9" s="6"/>
      <c r="H9" s="7" t="s">
        <v>1624</v>
      </c>
      <c r="I9" s="8" t="s">
        <v>13</v>
      </c>
      <c r="J9" s="8" t="s">
        <v>14</v>
      </c>
      <c r="K9" s="9" t="s">
        <v>15</v>
      </c>
    </row>
    <row r="10" spans="1:11" ht="18.75" customHeight="1" x14ac:dyDescent="0.25">
      <c r="A10" s="212"/>
      <c r="B10" s="212"/>
      <c r="C10" s="212"/>
      <c r="D10" s="212"/>
      <c r="E10" s="212"/>
      <c r="F10" s="212"/>
      <c r="G10" s="10"/>
      <c r="H10" s="11"/>
      <c r="I10" s="12"/>
      <c r="J10" s="12"/>
      <c r="K10" s="13"/>
    </row>
    <row r="11" spans="1:11" ht="63.75" customHeight="1" x14ac:dyDescent="0.25">
      <c r="A11" s="14"/>
      <c r="B11" s="15"/>
      <c r="C11" s="16"/>
      <c r="D11" s="17"/>
      <c r="E11" s="18"/>
      <c r="F11" s="19" t="str">
        <f>IF(AND(ISNUMBER($C11),ISNUMBER($E11)),$C11*$E11,"")</f>
        <v/>
      </c>
      <c r="G11" s="20"/>
      <c r="H11" s="245"/>
      <c r="I11" s="21"/>
      <c r="J11" s="21"/>
      <c r="K11" s="22"/>
    </row>
    <row r="12" spans="1:11" ht="78" customHeight="1" x14ac:dyDescent="0.25">
      <c r="A12" s="14"/>
      <c r="B12" s="15"/>
      <c r="C12" s="16"/>
      <c r="D12" s="17"/>
      <c r="E12" s="18"/>
      <c r="F12" s="19" t="str">
        <f>IF(AND(ISNUMBER($C12),ISNUMBER($E12)),$C12*$E12,"")</f>
        <v/>
      </c>
      <c r="G12" s="20"/>
      <c r="H12" s="245"/>
      <c r="I12" s="21"/>
      <c r="J12" s="21"/>
      <c r="K12" s="22"/>
    </row>
    <row r="13" spans="1:11" ht="63.75" customHeight="1" x14ac:dyDescent="0.25">
      <c r="A13" s="14"/>
      <c r="B13" s="15"/>
      <c r="C13" s="16"/>
      <c r="D13" s="17"/>
      <c r="E13" s="18"/>
      <c r="F13" s="19" t="str">
        <f>IF(AND(ISNUMBER($C13),ISNUMBER($E13)),$C13*$E13,"")</f>
        <v/>
      </c>
      <c r="G13" s="20"/>
      <c r="H13" s="245"/>
      <c r="I13" s="21"/>
      <c r="J13" s="21"/>
      <c r="K13" s="22"/>
    </row>
    <row r="14" spans="1:11" ht="63.75" customHeight="1" x14ac:dyDescent="0.25">
      <c r="A14" s="23"/>
      <c r="B14" s="24"/>
      <c r="C14" s="25"/>
      <c r="D14" s="26"/>
      <c r="E14" s="27"/>
      <c r="F14" s="28" t="str">
        <f>IF(AND(ISNUMBER($C14),ISNUMBER($E14)),$C14*$E14,"")</f>
        <v/>
      </c>
      <c r="G14" s="20"/>
      <c r="H14" s="200"/>
      <c r="I14" s="29"/>
      <c r="J14" s="29"/>
      <c r="K14" s="30"/>
    </row>
    <row r="15" spans="1:11" ht="63.75" customHeight="1" x14ac:dyDescent="0.25">
      <c r="A15" s="31"/>
      <c r="B15" s="32"/>
      <c r="C15" s="33"/>
      <c r="D15" s="34"/>
      <c r="E15" s="35"/>
      <c r="F15" s="36" t="str">
        <f>IF(AND(ISNUMBER($C15),ISNUMBER($E15)),$C15*$E15,"")</f>
        <v/>
      </c>
      <c r="G15" s="20"/>
      <c r="H15" s="199"/>
      <c r="I15" s="37"/>
      <c r="J15" s="37"/>
      <c r="K15" s="38"/>
    </row>
    <row r="16" spans="1:11" ht="49.5" customHeight="1" x14ac:dyDescent="0.25">
      <c r="A16" s="23"/>
      <c r="B16" s="24"/>
      <c r="C16" s="25"/>
      <c r="D16" s="26"/>
      <c r="E16" s="27"/>
      <c r="F16" s="28" t="str">
        <f>IF(AND(ISNUMBER($C16),ISNUMBER($E16)),$C16*$E16,"")</f>
        <v/>
      </c>
      <c r="G16" s="20"/>
      <c r="H16" s="200"/>
      <c r="I16" s="29"/>
      <c r="J16" s="29"/>
      <c r="K16" s="30"/>
    </row>
    <row r="17" spans="1:11" ht="18.75" customHeight="1" x14ac:dyDescent="0.25">
      <c r="A17" s="213" t="s">
        <v>28</v>
      </c>
      <c r="B17" s="213"/>
      <c r="C17" s="213"/>
      <c r="D17" s="213"/>
      <c r="E17" s="39"/>
      <c r="F17" s="40" t="str">
        <f>IF(SUM(F11:F16)=0,"-",SUM(F11:F16))</f>
        <v>-</v>
      </c>
      <c r="G17" s="41"/>
      <c r="H17" s="204" t="str">
        <f>IF(SUM(H10:H16)=0,"-",SUM(H10:H16))</f>
        <v>-</v>
      </c>
      <c r="I17" s="40" t="str">
        <f>IF(SUM(I10:I16)=0,"-",SUM(I10:I16))</f>
        <v>-</v>
      </c>
      <c r="J17" s="40" t="str">
        <f>IF(SUM(J10:J16)=0,"-",SUM(J10:J16))</f>
        <v>-</v>
      </c>
      <c r="K17" s="42" t="str">
        <f>IF(SUM(K10:K16)=0,"-",SUM(K10:K16))</f>
        <v>-</v>
      </c>
    </row>
    <row r="18" spans="1:11" ht="6.75" customHeight="1" x14ac:dyDescent="0.25"/>
    <row r="19" spans="1:11" ht="18.75" customHeight="1" x14ac:dyDescent="0.25">
      <c r="A19" s="212" t="s">
        <v>29</v>
      </c>
      <c r="B19" s="212"/>
      <c r="C19" s="212"/>
      <c r="D19" s="212"/>
      <c r="E19" s="212"/>
      <c r="F19" s="212"/>
      <c r="G19" s="6"/>
      <c r="H19" s="7" t="s">
        <v>12</v>
      </c>
      <c r="I19" s="8" t="s">
        <v>13</v>
      </c>
      <c r="J19" s="8" t="s">
        <v>14</v>
      </c>
      <c r="K19" s="9" t="s">
        <v>15</v>
      </c>
    </row>
    <row r="20" spans="1:11" ht="18.75" customHeight="1" x14ac:dyDescent="0.25">
      <c r="A20" s="212"/>
      <c r="B20" s="212"/>
      <c r="C20" s="212"/>
      <c r="D20" s="212"/>
      <c r="E20" s="212"/>
      <c r="F20" s="212"/>
      <c r="G20" s="10"/>
      <c r="H20" s="11"/>
      <c r="I20" s="12"/>
      <c r="J20" s="12"/>
      <c r="K20" s="13"/>
    </row>
    <row r="21" spans="1:11" ht="78" customHeight="1" x14ac:dyDescent="0.25">
      <c r="A21" s="43" t="s">
        <v>30</v>
      </c>
      <c r="B21" s="44" t="s">
        <v>31</v>
      </c>
      <c r="C21" s="45">
        <v>81.956400000000002</v>
      </c>
      <c r="D21" s="46" t="s">
        <v>32</v>
      </c>
      <c r="E21" s="47">
        <v>640</v>
      </c>
      <c r="F21" s="48">
        <f>IF(AND(ISNUMBER($C21),ISNUMBER($E21)),$C21*$E21,"")</f>
        <v>52452.096000000005</v>
      </c>
      <c r="G21" s="20"/>
      <c r="H21" s="203"/>
      <c r="I21" s="49"/>
      <c r="J21" s="49"/>
      <c r="K21" s="50"/>
    </row>
    <row r="22" spans="1:11" ht="63.75" customHeight="1" x14ac:dyDescent="0.25">
      <c r="A22" s="14" t="s">
        <v>30</v>
      </c>
      <c r="B22" s="15" t="s">
        <v>33</v>
      </c>
      <c r="C22" s="16" t="s">
        <v>34</v>
      </c>
      <c r="D22" s="17" t="s">
        <v>35</v>
      </c>
      <c r="E22" s="18" t="s">
        <v>34</v>
      </c>
      <c r="F22" s="19" t="str">
        <f>IF(AND(ISNUMBER($C22),ISNUMBER($E22)),$C22*$E22,"")</f>
        <v/>
      </c>
      <c r="G22" s="20"/>
      <c r="H22" s="245"/>
      <c r="I22" s="21"/>
      <c r="J22" s="21"/>
      <c r="K22" s="22"/>
    </row>
    <row r="23" spans="1:11" ht="67.5" customHeight="1" x14ac:dyDescent="0.25">
      <c r="A23" s="43" t="s">
        <v>30</v>
      </c>
      <c r="B23" s="44" t="s">
        <v>1633</v>
      </c>
      <c r="C23" s="45">
        <v>16.090900000000001</v>
      </c>
      <c r="D23" s="46" t="s">
        <v>32</v>
      </c>
      <c r="E23" s="47">
        <v>690.00111173948596</v>
      </c>
      <c r="F23" s="48">
        <f>IF(AND(ISNUMBER($C23),ISNUMBER($E23)),$C23*$E23,"")</f>
        <v>11102.738888888896</v>
      </c>
      <c r="G23" s="20"/>
      <c r="H23" s="203"/>
      <c r="I23" s="49"/>
      <c r="J23" s="49"/>
      <c r="K23" s="50"/>
    </row>
    <row r="24" spans="1:11" ht="49.5" customHeight="1" x14ac:dyDescent="0.25">
      <c r="A24" s="14" t="s">
        <v>30</v>
      </c>
      <c r="B24" s="15" t="s">
        <v>36</v>
      </c>
      <c r="C24" s="16" t="s">
        <v>34</v>
      </c>
      <c r="D24" s="17" t="s">
        <v>35</v>
      </c>
      <c r="E24" s="18" t="s">
        <v>34</v>
      </c>
      <c r="F24" s="19" t="str">
        <f>IF(AND(ISNUMBER($C24),ISNUMBER($E24)),$C24*$E24,"")</f>
        <v/>
      </c>
      <c r="G24" s="20"/>
      <c r="H24" s="245"/>
      <c r="I24" s="21"/>
      <c r="J24" s="21"/>
      <c r="K24" s="22"/>
    </row>
    <row r="25" spans="1:11" ht="78" customHeight="1" x14ac:dyDescent="0.25">
      <c r="A25" s="14" t="s">
        <v>30</v>
      </c>
      <c r="B25" s="15" t="s">
        <v>38</v>
      </c>
      <c r="C25" s="16" t="s">
        <v>34</v>
      </c>
      <c r="D25" s="17" t="s">
        <v>35</v>
      </c>
      <c r="E25" s="18" t="s">
        <v>34</v>
      </c>
      <c r="F25" s="19" t="str">
        <f>IF(AND(ISNUMBER($C25),ISNUMBER($E25)),$C25*$E25,"")</f>
        <v/>
      </c>
      <c r="G25" s="20"/>
      <c r="H25" s="245"/>
      <c r="I25" s="21"/>
      <c r="J25" s="21"/>
      <c r="K25" s="22"/>
    </row>
    <row r="26" spans="1:11" ht="36" customHeight="1" x14ac:dyDescent="0.25">
      <c r="A26" s="43" t="s">
        <v>30</v>
      </c>
      <c r="B26" s="44" t="s">
        <v>40</v>
      </c>
      <c r="C26" s="45">
        <v>18.899999999999999</v>
      </c>
      <c r="D26" s="46" t="s">
        <v>32</v>
      </c>
      <c r="E26" s="47">
        <v>750</v>
      </c>
      <c r="F26" s="48">
        <f>IF(AND(ISNUMBER($C26),ISNUMBER($E26)),$C26*$E26,"")</f>
        <v>14174.999999999998</v>
      </c>
      <c r="G26" s="20"/>
      <c r="H26" s="203"/>
      <c r="I26" s="49"/>
      <c r="J26" s="49"/>
      <c r="K26" s="50"/>
    </row>
    <row r="27" spans="1:11" ht="49.5" customHeight="1" x14ac:dyDescent="0.25">
      <c r="A27" s="43" t="s">
        <v>30</v>
      </c>
      <c r="B27" s="44" t="s">
        <v>41</v>
      </c>
      <c r="C27" s="45">
        <v>32.892800000000001</v>
      </c>
      <c r="D27" s="46" t="s">
        <v>32</v>
      </c>
      <c r="E27" s="47">
        <v>650</v>
      </c>
      <c r="F27" s="48">
        <f>IF(AND(ISNUMBER($C27),ISNUMBER($E27)),$C27*$E27,"")</f>
        <v>21380.32</v>
      </c>
      <c r="G27" s="20"/>
      <c r="H27" s="203"/>
      <c r="I27" s="49"/>
      <c r="J27" s="49"/>
      <c r="K27" s="50"/>
    </row>
    <row r="28" spans="1:11" ht="49.5" customHeight="1" x14ac:dyDescent="0.25">
      <c r="A28" s="43" t="s">
        <v>30</v>
      </c>
      <c r="B28" s="44" t="s">
        <v>42</v>
      </c>
      <c r="C28" s="45">
        <v>10.6556</v>
      </c>
      <c r="D28" s="46" t="s">
        <v>32</v>
      </c>
      <c r="E28" s="47">
        <v>600</v>
      </c>
      <c r="F28" s="48">
        <f>IF(AND(ISNUMBER($C28),ISNUMBER($E28)),$C28*$E28,"")</f>
        <v>6393.36</v>
      </c>
      <c r="G28" s="20"/>
      <c r="H28" s="203"/>
      <c r="I28" s="49"/>
      <c r="J28" s="49"/>
      <c r="K28" s="50"/>
    </row>
    <row r="29" spans="1:11" ht="63.75" customHeight="1" x14ac:dyDescent="0.25">
      <c r="A29" s="43" t="s">
        <v>30</v>
      </c>
      <c r="B29" s="44" t="s">
        <v>43</v>
      </c>
      <c r="C29" s="45">
        <v>31.2072</v>
      </c>
      <c r="D29" s="46" t="s">
        <v>32</v>
      </c>
      <c r="E29" s="47">
        <v>650</v>
      </c>
      <c r="F29" s="48">
        <f>IF(AND(ISNUMBER($C29),ISNUMBER($E29)),$C29*$E29,"")</f>
        <v>20284.68</v>
      </c>
      <c r="G29" s="20"/>
      <c r="H29" s="203"/>
      <c r="I29" s="49"/>
      <c r="J29" s="49"/>
      <c r="K29" s="50"/>
    </row>
    <row r="30" spans="1:11" ht="49.5" customHeight="1" x14ac:dyDescent="0.25">
      <c r="A30" s="14" t="s">
        <v>30</v>
      </c>
      <c r="B30" s="15" t="s">
        <v>44</v>
      </c>
      <c r="C30" s="16" t="s">
        <v>34</v>
      </c>
      <c r="D30" s="17" t="s">
        <v>35</v>
      </c>
      <c r="E30" s="18" t="s">
        <v>34</v>
      </c>
      <c r="F30" s="19" t="str">
        <f>IF(AND(ISNUMBER($C30),ISNUMBER($E30)),$C30*$E30,"")</f>
        <v/>
      </c>
      <c r="G30" s="20"/>
      <c r="H30" s="245"/>
      <c r="I30" s="21"/>
      <c r="J30" s="21"/>
      <c r="K30" s="22"/>
    </row>
    <row r="31" spans="1:11" ht="49.5" customHeight="1" x14ac:dyDescent="0.25">
      <c r="A31" s="14" t="s">
        <v>30</v>
      </c>
      <c r="B31" s="15" t="s">
        <v>45</v>
      </c>
      <c r="C31" s="16" t="s">
        <v>34</v>
      </c>
      <c r="D31" s="17" t="s">
        <v>35</v>
      </c>
      <c r="E31" s="18" t="s">
        <v>34</v>
      </c>
      <c r="F31" s="19" t="str">
        <f>IF(AND(ISNUMBER($C31),ISNUMBER($E31)),$C31*$E31,"")</f>
        <v/>
      </c>
      <c r="G31" s="20"/>
      <c r="H31" s="245"/>
      <c r="I31" s="21"/>
      <c r="J31" s="21"/>
      <c r="K31" s="22"/>
    </row>
    <row r="32" spans="1:11" ht="63.75" customHeight="1" x14ac:dyDescent="0.25">
      <c r="A32" s="43" t="s">
        <v>46</v>
      </c>
      <c r="B32" s="44" t="s">
        <v>47</v>
      </c>
      <c r="C32" s="45">
        <v>15.83</v>
      </c>
      <c r="D32" s="46" t="s">
        <v>21</v>
      </c>
      <c r="E32" s="47">
        <v>150</v>
      </c>
      <c r="F32" s="48">
        <f>IF(AND(ISNUMBER($C32),ISNUMBER($E32)),$C32*$E32,"")</f>
        <v>2374.5</v>
      </c>
      <c r="G32" s="20"/>
      <c r="H32" s="203"/>
      <c r="I32" s="49"/>
      <c r="J32" s="49"/>
      <c r="K32" s="50"/>
    </row>
    <row r="33" spans="1:11" ht="26.25" customHeight="1" thickBot="1" x14ac:dyDescent="0.3">
      <c r="A33" s="253"/>
      <c r="B33" s="254" t="s">
        <v>1634</v>
      </c>
      <c r="C33" s="255">
        <v>1</v>
      </c>
      <c r="D33" s="256" t="s">
        <v>19</v>
      </c>
      <c r="E33" s="257">
        <v>3500</v>
      </c>
      <c r="F33" s="258">
        <f>IF(AND(ISNUMBER($C33),ISNUMBER($E33)),$C33*$E33,"")</f>
        <v>3500</v>
      </c>
      <c r="G33" s="259"/>
      <c r="H33" s="260"/>
      <c r="I33" s="261"/>
      <c r="J33" s="261"/>
      <c r="K33" s="262"/>
    </row>
    <row r="34" spans="1:11" ht="18.75" customHeight="1" x14ac:dyDescent="0.25">
      <c r="A34" s="213" t="s">
        <v>28</v>
      </c>
      <c r="B34" s="213"/>
      <c r="C34" s="213"/>
      <c r="D34" s="213"/>
      <c r="E34" s="39"/>
      <c r="F34" s="40">
        <f>IF(SUM(F21:F33)=0,"-",SUM(F21:F33))</f>
        <v>131662.69488888892</v>
      </c>
      <c r="G34" s="41"/>
      <c r="H34" s="204" t="str">
        <f>IF(SUM(H20:H33)=0,"-",SUM(H20:H33))</f>
        <v>-</v>
      </c>
      <c r="I34" s="40" t="str">
        <f>IF(SUM(I20:I33)=0,"-",SUM(I20:I33))</f>
        <v>-</v>
      </c>
      <c r="J34" s="40" t="str">
        <f>IF(SUM(J20:J33)=0,"-",SUM(J20:J33))</f>
        <v>-</v>
      </c>
      <c r="K34" s="42" t="str">
        <f>IF(SUM(K20:K33)=0,"-",SUM(K20:K33))</f>
        <v>-</v>
      </c>
    </row>
    <row r="35" spans="1:11" ht="6.75" customHeight="1" x14ac:dyDescent="0.25"/>
    <row r="36" spans="1:11" ht="18.75" customHeight="1" x14ac:dyDescent="0.25">
      <c r="A36" s="212" t="s">
        <v>48</v>
      </c>
      <c r="B36" s="212"/>
      <c r="C36" s="212"/>
      <c r="D36" s="212"/>
      <c r="E36" s="212"/>
      <c r="F36" s="212"/>
      <c r="G36" s="6"/>
      <c r="H36" s="7" t="s">
        <v>49</v>
      </c>
      <c r="I36" s="8" t="s">
        <v>13</v>
      </c>
      <c r="J36" s="8" t="s">
        <v>14</v>
      </c>
      <c r="K36" s="9" t="s">
        <v>15</v>
      </c>
    </row>
    <row r="37" spans="1:11" ht="18.75" customHeight="1" x14ac:dyDescent="0.25">
      <c r="A37" s="212"/>
      <c r="B37" s="212"/>
      <c r="C37" s="212"/>
      <c r="D37" s="212"/>
      <c r="E37" s="212"/>
      <c r="F37" s="212"/>
      <c r="G37" s="10"/>
      <c r="H37" s="11">
        <v>330000</v>
      </c>
      <c r="I37" s="12"/>
      <c r="J37" s="12"/>
      <c r="K37" s="13"/>
    </row>
    <row r="38" spans="1:11" ht="49.5" customHeight="1" x14ac:dyDescent="0.25">
      <c r="A38" s="14" t="s">
        <v>50</v>
      </c>
      <c r="B38" s="15" t="s">
        <v>51</v>
      </c>
      <c r="C38" s="16">
        <v>12552.05</v>
      </c>
      <c r="D38" s="17" t="s">
        <v>52</v>
      </c>
      <c r="E38" s="18">
        <v>5</v>
      </c>
      <c r="F38" s="19">
        <f>IF(AND(ISNUMBER($C38),ISNUMBER($E38)),$C38*$E38,"")</f>
        <v>62760.25</v>
      </c>
      <c r="G38" s="20"/>
      <c r="H38" s="245"/>
      <c r="I38" s="21"/>
      <c r="J38" s="21"/>
      <c r="K38" s="22"/>
    </row>
    <row r="39" spans="1:11" ht="36" customHeight="1" x14ac:dyDescent="0.25">
      <c r="A39" s="14" t="s">
        <v>50</v>
      </c>
      <c r="B39" s="15" t="s">
        <v>53</v>
      </c>
      <c r="C39" s="16">
        <v>5945.88</v>
      </c>
      <c r="D39" s="17" t="s">
        <v>52</v>
      </c>
      <c r="E39" s="18">
        <v>5</v>
      </c>
      <c r="F39" s="19">
        <f>IF(AND(ISNUMBER($C39),ISNUMBER($E39)),$C39*$E39,"")</f>
        <v>29729.4</v>
      </c>
      <c r="G39" s="20"/>
      <c r="H39" s="245"/>
      <c r="I39" s="21"/>
      <c r="J39" s="21"/>
      <c r="K39" s="22"/>
    </row>
    <row r="40" spans="1:11" ht="49.5" customHeight="1" x14ac:dyDescent="0.25">
      <c r="A40" s="14" t="s">
        <v>50</v>
      </c>
      <c r="B40" s="15" t="s">
        <v>54</v>
      </c>
      <c r="C40" s="16">
        <v>12066.03</v>
      </c>
      <c r="D40" s="17" t="s">
        <v>52</v>
      </c>
      <c r="E40" s="18">
        <v>5</v>
      </c>
      <c r="F40" s="19">
        <f>IF(AND(ISNUMBER($C40),ISNUMBER($E40)),$C40*$E40,"")</f>
        <v>60330.15</v>
      </c>
      <c r="G40" s="20"/>
      <c r="H40" s="245"/>
      <c r="I40" s="21"/>
      <c r="J40" s="21"/>
      <c r="K40" s="22"/>
    </row>
    <row r="41" spans="1:11" ht="36" customHeight="1" x14ac:dyDescent="0.25">
      <c r="A41" s="14" t="s">
        <v>50</v>
      </c>
      <c r="B41" s="15" t="s">
        <v>55</v>
      </c>
      <c r="C41" s="16">
        <v>518.13</v>
      </c>
      <c r="D41" s="17" t="s">
        <v>52</v>
      </c>
      <c r="E41" s="18">
        <v>5</v>
      </c>
      <c r="F41" s="19">
        <f>IF(AND(ISNUMBER($C41),ISNUMBER($E41)),$C41*$E41,"")</f>
        <v>2590.65</v>
      </c>
      <c r="G41" s="20"/>
      <c r="H41" s="245"/>
      <c r="I41" s="21"/>
      <c r="J41" s="21"/>
      <c r="K41" s="22"/>
    </row>
    <row r="42" spans="1:11" ht="49.5" customHeight="1" x14ac:dyDescent="0.25">
      <c r="A42" s="31" t="s">
        <v>50</v>
      </c>
      <c r="B42" s="32" t="s">
        <v>56</v>
      </c>
      <c r="C42" s="33" t="s">
        <v>34</v>
      </c>
      <c r="D42" s="34" t="s">
        <v>35</v>
      </c>
      <c r="E42" s="35" t="s">
        <v>34</v>
      </c>
      <c r="F42" s="36" t="str">
        <f>IF(AND(ISNUMBER($C42),ISNUMBER($E42)),$C42*$E42,"")</f>
        <v/>
      </c>
      <c r="G42" s="20"/>
      <c r="H42" s="199"/>
      <c r="I42" s="37"/>
      <c r="J42" s="37"/>
      <c r="K42" s="38"/>
    </row>
    <row r="43" spans="1:11" ht="49.5" customHeight="1" x14ac:dyDescent="0.25">
      <c r="A43" s="14" t="s">
        <v>50</v>
      </c>
      <c r="B43" s="15" t="s">
        <v>57</v>
      </c>
      <c r="C43" s="16">
        <v>13189.5</v>
      </c>
      <c r="D43" s="17" t="s">
        <v>26</v>
      </c>
      <c r="E43" s="18">
        <v>5</v>
      </c>
      <c r="F43" s="19">
        <f>IF(AND(ISNUMBER($C43),ISNUMBER($E43)),$C43*$E43,"")</f>
        <v>65947.5</v>
      </c>
      <c r="G43" s="20"/>
      <c r="H43" s="245"/>
      <c r="I43" s="21"/>
      <c r="J43" s="21"/>
      <c r="K43" s="22"/>
    </row>
    <row r="44" spans="1:11" ht="49.5" customHeight="1" x14ac:dyDescent="0.25">
      <c r="A44" s="14" t="s">
        <v>50</v>
      </c>
      <c r="B44" s="15" t="s">
        <v>58</v>
      </c>
      <c r="C44" s="16">
        <v>9792</v>
      </c>
      <c r="D44" s="17" t="s">
        <v>26</v>
      </c>
      <c r="E44" s="18">
        <v>5</v>
      </c>
      <c r="F44" s="19">
        <f>IF(AND(ISNUMBER($C44),ISNUMBER($E44)),$C44*$E44,"")</f>
        <v>48960</v>
      </c>
      <c r="G44" s="20"/>
      <c r="H44" s="245"/>
      <c r="I44" s="21"/>
      <c r="J44" s="21"/>
      <c r="K44" s="22"/>
    </row>
    <row r="45" spans="1:11" ht="36" customHeight="1" x14ac:dyDescent="0.25">
      <c r="A45" s="14" t="s">
        <v>50</v>
      </c>
      <c r="B45" s="15" t="s">
        <v>59</v>
      </c>
      <c r="C45" s="16">
        <v>3524</v>
      </c>
      <c r="D45" s="17" t="s">
        <v>26</v>
      </c>
      <c r="E45" s="18">
        <v>5</v>
      </c>
      <c r="F45" s="19">
        <f>IF(AND(ISNUMBER($C45),ISNUMBER($E45)),$C45*$E45,"")</f>
        <v>17620</v>
      </c>
      <c r="G45" s="20"/>
      <c r="H45" s="245"/>
      <c r="I45" s="21"/>
      <c r="J45" s="21"/>
      <c r="K45" s="22"/>
    </row>
    <row r="46" spans="1:11" ht="49.5" customHeight="1" x14ac:dyDescent="0.25">
      <c r="A46" s="14" t="s">
        <v>50</v>
      </c>
      <c r="B46" s="15" t="s">
        <v>60</v>
      </c>
      <c r="C46" s="16">
        <v>1249.5999999999999</v>
      </c>
      <c r="D46" s="17" t="s">
        <v>26</v>
      </c>
      <c r="E46" s="18">
        <v>5</v>
      </c>
      <c r="F46" s="19">
        <f>IF(AND(ISNUMBER($C46),ISNUMBER($E46)),$C46*$E46,"")</f>
        <v>6248</v>
      </c>
      <c r="G46" s="20"/>
      <c r="H46" s="245"/>
      <c r="I46" s="21"/>
      <c r="J46" s="21"/>
      <c r="K46" s="22"/>
    </row>
    <row r="47" spans="1:11" ht="49.5" customHeight="1" x14ac:dyDescent="0.25">
      <c r="A47" s="14" t="s">
        <v>50</v>
      </c>
      <c r="B47" s="15" t="s">
        <v>61</v>
      </c>
      <c r="C47" s="16">
        <v>852.9</v>
      </c>
      <c r="D47" s="17" t="s">
        <v>26</v>
      </c>
      <c r="E47" s="18">
        <v>5</v>
      </c>
      <c r="F47" s="19">
        <f>IF(AND(ISNUMBER($C47),ISNUMBER($E47)),$C47*$E47,"")</f>
        <v>4264.5</v>
      </c>
      <c r="G47" s="20"/>
      <c r="H47" s="245"/>
      <c r="I47" s="21"/>
      <c r="J47" s="21"/>
      <c r="K47" s="22"/>
    </row>
    <row r="48" spans="1:11" ht="49.5" customHeight="1" x14ac:dyDescent="0.25">
      <c r="A48" s="14" t="s">
        <v>50</v>
      </c>
      <c r="B48" s="15" t="s">
        <v>62</v>
      </c>
      <c r="C48" s="16">
        <v>1</v>
      </c>
      <c r="D48" s="17" t="s">
        <v>19</v>
      </c>
      <c r="E48" s="18">
        <v>7636.2</v>
      </c>
      <c r="F48" s="19">
        <f>IF(AND(ISNUMBER($C48),ISNUMBER($E48)),$C48*$E48,"")</f>
        <v>7636.2</v>
      </c>
      <c r="G48" s="20"/>
      <c r="H48" s="245"/>
      <c r="I48" s="21"/>
      <c r="J48" s="21"/>
      <c r="K48" s="22"/>
    </row>
    <row r="49" spans="1:11" ht="78" customHeight="1" x14ac:dyDescent="0.25">
      <c r="A49" s="23" t="s">
        <v>50</v>
      </c>
      <c r="B49" s="24" t="s">
        <v>63</v>
      </c>
      <c r="C49" s="25" t="s">
        <v>34</v>
      </c>
      <c r="D49" s="26" t="s">
        <v>35</v>
      </c>
      <c r="E49" s="27" t="s">
        <v>34</v>
      </c>
      <c r="F49" s="28" t="str">
        <f>IF(AND(ISNUMBER($C49),ISNUMBER($E49)),$C49*$E49,"")</f>
        <v/>
      </c>
      <c r="G49" s="20"/>
      <c r="H49" s="200"/>
      <c r="I49" s="29"/>
      <c r="J49" s="29"/>
      <c r="K49" s="30"/>
    </row>
    <row r="50" spans="1:11" ht="18.75" customHeight="1" x14ac:dyDescent="0.25">
      <c r="A50" s="213" t="s">
        <v>28</v>
      </c>
      <c r="B50" s="213"/>
      <c r="C50" s="213"/>
      <c r="D50" s="213"/>
      <c r="E50" s="39"/>
      <c r="F50" s="40">
        <f>IF(SUM(F38:F49)=0,"-",SUM(F38:F49))</f>
        <v>306086.64999999997</v>
      </c>
      <c r="G50" s="41"/>
      <c r="H50" s="204">
        <f>IF(SUM(H37:H49)=0,"-",SUM(H37:H49))</f>
        <v>330000</v>
      </c>
      <c r="I50" s="40" t="str">
        <f>IF(SUM(I37:I49)=0,"-",SUM(I37:I49))</f>
        <v>-</v>
      </c>
      <c r="J50" s="40" t="str">
        <f>IF(SUM(J37:J49)=0,"-",SUM(J37:J49))</f>
        <v>-</v>
      </c>
      <c r="K50" s="42" t="str">
        <f>IF(SUM(K37:K49)=0,"-",SUM(K37:K49))</f>
        <v>-</v>
      </c>
    </row>
    <row r="51" spans="1:11" ht="6.75" customHeight="1" x14ac:dyDescent="0.25"/>
    <row r="52" spans="1:11" ht="18.75" customHeight="1" x14ac:dyDescent="0.25">
      <c r="A52" s="212" t="s">
        <v>64</v>
      </c>
      <c r="B52" s="212"/>
      <c r="C52" s="212"/>
      <c r="D52" s="212"/>
      <c r="E52" s="212"/>
      <c r="F52" s="212"/>
      <c r="G52" s="6"/>
      <c r="H52" s="7" t="s">
        <v>1617</v>
      </c>
      <c r="I52" s="8" t="s">
        <v>13</v>
      </c>
      <c r="J52" s="8" t="s">
        <v>14</v>
      </c>
      <c r="K52" s="9" t="s">
        <v>15</v>
      </c>
    </row>
    <row r="53" spans="1:11" ht="18.75" customHeight="1" x14ac:dyDescent="0.25">
      <c r="A53" s="212"/>
      <c r="B53" s="212"/>
      <c r="C53" s="212"/>
      <c r="D53" s="212"/>
      <c r="E53" s="212"/>
      <c r="F53" s="212"/>
      <c r="G53" s="10"/>
      <c r="H53" s="11"/>
      <c r="I53" s="12"/>
      <c r="J53" s="12"/>
      <c r="K53" s="13"/>
    </row>
    <row r="54" spans="1:11" ht="21.75" customHeight="1" x14ac:dyDescent="0.25">
      <c r="A54" s="31" t="s">
        <v>65</v>
      </c>
      <c r="B54" s="32" t="s">
        <v>66</v>
      </c>
      <c r="C54" s="33">
        <v>1</v>
      </c>
      <c r="D54" s="34" t="s">
        <v>19</v>
      </c>
      <c r="E54" s="35">
        <v>1500</v>
      </c>
      <c r="F54" s="36">
        <f>IF(AND(ISNUMBER($C54),ISNUMBER($E54)),$C54*$E54,"")</f>
        <v>1500</v>
      </c>
      <c r="G54" s="20"/>
      <c r="H54" s="199"/>
      <c r="I54" s="37"/>
      <c r="J54" s="37"/>
      <c r="K54" s="38"/>
    </row>
    <row r="55" spans="1:11" ht="63.75" customHeight="1" x14ac:dyDescent="0.25">
      <c r="A55" s="23" t="s">
        <v>65</v>
      </c>
      <c r="B55" s="24" t="s">
        <v>67</v>
      </c>
      <c r="C55" s="25">
        <v>300</v>
      </c>
      <c r="D55" s="26" t="s">
        <v>23</v>
      </c>
      <c r="E55" s="27">
        <v>60</v>
      </c>
      <c r="F55" s="28">
        <f>IF(AND(ISNUMBER($C55),ISNUMBER($E55)),$C55*$E55,"")</f>
        <v>18000</v>
      </c>
      <c r="G55" s="20"/>
      <c r="H55" s="200"/>
      <c r="I55" s="29"/>
      <c r="J55" s="29"/>
      <c r="K55" s="30"/>
    </row>
    <row r="56" spans="1:11" ht="49.5" customHeight="1" x14ac:dyDescent="0.25">
      <c r="A56" s="31" t="s">
        <v>65</v>
      </c>
      <c r="B56" s="32" t="s">
        <v>68</v>
      </c>
      <c r="C56" s="33">
        <v>26.93</v>
      </c>
      <c r="D56" s="34" t="s">
        <v>23</v>
      </c>
      <c r="E56" s="35">
        <v>60</v>
      </c>
      <c r="F56" s="36">
        <f>IF(AND(ISNUMBER($C56),ISNUMBER($E56)),$C56*$E56,"")</f>
        <v>1615.8</v>
      </c>
      <c r="G56" s="20"/>
      <c r="H56" s="199"/>
      <c r="I56" s="37"/>
      <c r="J56" s="37"/>
      <c r="K56" s="38"/>
    </row>
    <row r="57" spans="1:11" ht="63.75" customHeight="1" x14ac:dyDescent="0.25">
      <c r="A57" s="23" t="s">
        <v>65</v>
      </c>
      <c r="B57" s="24" t="s">
        <v>69</v>
      </c>
      <c r="C57" s="25">
        <v>229</v>
      </c>
      <c r="D57" s="26" t="s">
        <v>23</v>
      </c>
      <c r="E57" s="27">
        <v>60</v>
      </c>
      <c r="F57" s="28">
        <f>IF(AND(ISNUMBER($C57),ISNUMBER($E57)),$C57*$E57,"")</f>
        <v>13740</v>
      </c>
      <c r="G57" s="20"/>
      <c r="H57" s="200"/>
      <c r="I57" s="29"/>
      <c r="J57" s="29"/>
      <c r="K57" s="30"/>
    </row>
    <row r="58" spans="1:11" ht="91.5" customHeight="1" x14ac:dyDescent="0.25">
      <c r="A58" s="31" t="s">
        <v>65</v>
      </c>
      <c r="B58" s="32" t="s">
        <v>70</v>
      </c>
      <c r="C58" s="33">
        <v>543</v>
      </c>
      <c r="D58" s="34" t="s">
        <v>23</v>
      </c>
      <c r="E58" s="35">
        <v>9</v>
      </c>
      <c r="F58" s="36">
        <f>IF(AND(ISNUMBER($C58),ISNUMBER($E58)),$C58*$E58,"")</f>
        <v>4887</v>
      </c>
      <c r="G58" s="20"/>
      <c r="H58" s="199"/>
      <c r="I58" s="37"/>
      <c r="J58" s="37"/>
      <c r="K58" s="38"/>
    </row>
    <row r="59" spans="1:11" ht="63.75" customHeight="1" x14ac:dyDescent="0.25">
      <c r="A59" s="23" t="s">
        <v>65</v>
      </c>
      <c r="B59" s="24" t="s">
        <v>71</v>
      </c>
      <c r="C59" s="25">
        <v>10</v>
      </c>
      <c r="D59" s="26" t="s">
        <v>26</v>
      </c>
      <c r="E59" s="27">
        <v>250</v>
      </c>
      <c r="F59" s="28">
        <f>IF(AND(ISNUMBER($C59),ISNUMBER($E59)),$C59*$E59,"")</f>
        <v>2500</v>
      </c>
      <c r="G59" s="20"/>
      <c r="H59" s="200"/>
      <c r="I59" s="29"/>
      <c r="J59" s="29"/>
      <c r="K59" s="30"/>
    </row>
    <row r="60" spans="1:11" ht="21.75" customHeight="1" x14ac:dyDescent="0.25">
      <c r="A60" s="31" t="s">
        <v>72</v>
      </c>
      <c r="B60" s="32" t="s">
        <v>66</v>
      </c>
      <c r="C60" s="33">
        <v>1</v>
      </c>
      <c r="D60" s="34" t="s">
        <v>26</v>
      </c>
      <c r="E60" s="35">
        <v>2500</v>
      </c>
      <c r="F60" s="36">
        <f>IF(AND(ISNUMBER($C60),ISNUMBER($E60)),$C60*$E60,"")</f>
        <v>2500</v>
      </c>
      <c r="G60" s="20"/>
      <c r="H60" s="199"/>
      <c r="I60" s="37"/>
      <c r="J60" s="37"/>
      <c r="K60" s="38"/>
    </row>
    <row r="61" spans="1:11" ht="91.5" customHeight="1" x14ac:dyDescent="0.25">
      <c r="A61" s="23" t="s">
        <v>72</v>
      </c>
      <c r="B61" s="24" t="s">
        <v>73</v>
      </c>
      <c r="C61" s="25">
        <v>153</v>
      </c>
      <c r="D61" s="26" t="s">
        <v>21</v>
      </c>
      <c r="E61" s="27">
        <v>480</v>
      </c>
      <c r="F61" s="28">
        <f>IF(AND(ISNUMBER($C61),ISNUMBER($E61)),$C61*$E61,"")</f>
        <v>73440</v>
      </c>
      <c r="G61" s="20"/>
      <c r="H61" s="200"/>
      <c r="I61" s="29"/>
      <c r="J61" s="29"/>
      <c r="K61" s="30"/>
    </row>
    <row r="62" spans="1:11" ht="91.5" customHeight="1" x14ac:dyDescent="0.25">
      <c r="A62" s="31" t="s">
        <v>72</v>
      </c>
      <c r="B62" s="32" t="s">
        <v>74</v>
      </c>
      <c r="C62" s="33">
        <v>195</v>
      </c>
      <c r="D62" s="34" t="s">
        <v>21</v>
      </c>
      <c r="E62" s="35">
        <v>480</v>
      </c>
      <c r="F62" s="36">
        <f>IF(AND(ISNUMBER($C62),ISNUMBER($E62)),$C62*$E62,"")</f>
        <v>93600</v>
      </c>
      <c r="G62" s="20"/>
      <c r="H62" s="199"/>
      <c r="I62" s="37"/>
      <c r="J62" s="37"/>
      <c r="K62" s="38"/>
    </row>
    <row r="63" spans="1:11" ht="49.5" customHeight="1" x14ac:dyDescent="0.25">
      <c r="A63" s="185" t="s">
        <v>72</v>
      </c>
      <c r="B63" s="186" t="s">
        <v>75</v>
      </c>
      <c r="C63" s="187">
        <v>506.43</v>
      </c>
      <c r="D63" s="188" t="s">
        <v>23</v>
      </c>
      <c r="E63" s="189">
        <v>60</v>
      </c>
      <c r="F63" s="190">
        <f>IF(AND(ISNUMBER($C63),ISNUMBER($E63)),$C63*$E63,"")</f>
        <v>30385.8</v>
      </c>
      <c r="G63" s="191"/>
      <c r="H63" s="246"/>
      <c r="I63" s="192"/>
      <c r="J63" s="192"/>
      <c r="K63" s="193"/>
    </row>
    <row r="64" spans="1:11" ht="49.5" customHeight="1" x14ac:dyDescent="0.25">
      <c r="A64" s="185" t="s">
        <v>72</v>
      </c>
      <c r="B64" s="186" t="s">
        <v>76</v>
      </c>
      <c r="C64" s="187">
        <v>153.36000000000001</v>
      </c>
      <c r="D64" s="188" t="s">
        <v>21</v>
      </c>
      <c r="E64" s="189">
        <v>22</v>
      </c>
      <c r="F64" s="190">
        <f>IF(AND(ISNUMBER($C64),ISNUMBER($E64)),$C64*$E64,"")</f>
        <v>3373.92</v>
      </c>
      <c r="G64" s="191"/>
      <c r="H64" s="246"/>
      <c r="I64" s="192"/>
      <c r="J64" s="192"/>
      <c r="K64" s="193"/>
    </row>
    <row r="65" spans="1:11" ht="49.5" customHeight="1" x14ac:dyDescent="0.25">
      <c r="A65" s="31" t="s">
        <v>72</v>
      </c>
      <c r="B65" s="32" t="s">
        <v>77</v>
      </c>
      <c r="C65" s="33">
        <v>14</v>
      </c>
      <c r="D65" s="34" t="s">
        <v>26</v>
      </c>
      <c r="E65" s="35">
        <v>175</v>
      </c>
      <c r="F65" s="36">
        <f>IF(AND(ISNUMBER($C65),ISNUMBER($E65)),$C65*$E65,"")</f>
        <v>2450</v>
      </c>
      <c r="G65" s="20"/>
      <c r="H65" s="199"/>
      <c r="I65" s="37"/>
      <c r="J65" s="37"/>
      <c r="K65" s="38"/>
    </row>
    <row r="66" spans="1:11" ht="49.5" customHeight="1" x14ac:dyDescent="0.25">
      <c r="A66" s="185" t="s">
        <v>72</v>
      </c>
      <c r="B66" s="186" t="s">
        <v>78</v>
      </c>
      <c r="C66" s="187">
        <v>15.97</v>
      </c>
      <c r="D66" s="188" t="s">
        <v>21</v>
      </c>
      <c r="E66" s="189">
        <v>300</v>
      </c>
      <c r="F66" s="190">
        <f>IF(AND(ISNUMBER($C66),ISNUMBER($E66)),$C66*$E66,"")</f>
        <v>4791</v>
      </c>
      <c r="G66" s="191"/>
      <c r="H66" s="246"/>
      <c r="I66" s="192"/>
      <c r="J66" s="192"/>
      <c r="K66" s="193"/>
    </row>
    <row r="67" spans="1:11" ht="49.5" customHeight="1" thickBot="1" x14ac:dyDescent="0.3">
      <c r="A67" s="185" t="s">
        <v>72</v>
      </c>
      <c r="B67" s="186" t="s">
        <v>1614</v>
      </c>
      <c r="C67" s="187">
        <v>19</v>
      </c>
      <c r="D67" s="188" t="s">
        <v>21</v>
      </c>
      <c r="E67" s="189">
        <v>250</v>
      </c>
      <c r="F67" s="190">
        <f>IF(AND(ISNUMBER($C67),ISNUMBER($E67)),$C67*$E67,"")</f>
        <v>4750</v>
      </c>
      <c r="G67" s="191"/>
      <c r="H67" s="246"/>
      <c r="I67" s="192"/>
      <c r="J67" s="192"/>
      <c r="K67" s="193"/>
    </row>
    <row r="68" spans="1:11" ht="18.75" customHeight="1" thickBot="1" x14ac:dyDescent="0.3">
      <c r="A68" s="213" t="s">
        <v>28</v>
      </c>
      <c r="B68" s="213"/>
      <c r="C68" s="213"/>
      <c r="D68" s="213"/>
      <c r="E68" s="39"/>
      <c r="F68" s="40">
        <f>IF(SUM(F54:F67)=0,"-",SUM(F54:F67))</f>
        <v>257533.52</v>
      </c>
      <c r="G68" s="41"/>
      <c r="H68" s="204" t="str">
        <f>IF(SUM(H53:H67)=0,"-",SUM(H53:H67))</f>
        <v>-</v>
      </c>
      <c r="I68" s="40" t="str">
        <f>IF(SUM(I53:I67)=0,"-",SUM(I53:I67))</f>
        <v>-</v>
      </c>
      <c r="J68" s="40" t="str">
        <f>IF(SUM(J53:J67)=0,"-",SUM(J53:J67))</f>
        <v>-</v>
      </c>
      <c r="K68" s="42" t="str">
        <f>IF(SUM(K53:K67)=0,"-",SUM(K53:K67))</f>
        <v>-</v>
      </c>
    </row>
    <row r="69" spans="1:11" ht="6.75" customHeight="1" x14ac:dyDescent="0.25"/>
    <row r="70" spans="1:11" ht="18.75" customHeight="1" x14ac:dyDescent="0.25">
      <c r="A70" s="212" t="s">
        <v>79</v>
      </c>
      <c r="B70" s="212"/>
      <c r="C70" s="212"/>
      <c r="D70" s="212"/>
      <c r="E70" s="212"/>
      <c r="F70" s="212"/>
      <c r="G70" s="6"/>
      <c r="H70" s="7" t="s">
        <v>1625</v>
      </c>
      <c r="I70" s="8" t="s">
        <v>13</v>
      </c>
      <c r="J70" s="8" t="s">
        <v>14</v>
      </c>
      <c r="K70" s="9" t="s">
        <v>15</v>
      </c>
    </row>
    <row r="71" spans="1:11" ht="18.75" customHeight="1" thickBot="1" x14ac:dyDescent="0.3">
      <c r="A71" s="212"/>
      <c r="B71" s="212"/>
      <c r="C71" s="212"/>
      <c r="D71" s="212"/>
      <c r="E71" s="212"/>
      <c r="F71" s="212"/>
      <c r="G71" s="10"/>
      <c r="H71" s="11">
        <v>72500</v>
      </c>
      <c r="I71" s="12"/>
      <c r="J71" s="12"/>
      <c r="K71" s="13"/>
    </row>
    <row r="72" spans="1:11" ht="36" customHeight="1" x14ac:dyDescent="0.25">
      <c r="A72" s="23" t="s">
        <v>80</v>
      </c>
      <c r="B72" s="24" t="s">
        <v>81</v>
      </c>
      <c r="C72" s="25" t="s">
        <v>34</v>
      </c>
      <c r="D72" s="26" t="s">
        <v>35</v>
      </c>
      <c r="E72" s="27" t="s">
        <v>34</v>
      </c>
      <c r="F72" s="28" t="str">
        <f>IF(AND(ISNUMBER($C72),ISNUMBER($E72)),$C72*$E72,"")</f>
        <v/>
      </c>
      <c r="G72" s="20"/>
      <c r="H72" s="200"/>
      <c r="I72" s="29"/>
      <c r="J72" s="29"/>
      <c r="K72" s="30"/>
    </row>
    <row r="73" spans="1:11" ht="63.75" customHeight="1" x14ac:dyDescent="0.25">
      <c r="A73" s="31" t="s">
        <v>80</v>
      </c>
      <c r="B73" s="32" t="s">
        <v>82</v>
      </c>
      <c r="C73" s="33" t="s">
        <v>34</v>
      </c>
      <c r="D73" s="34" t="s">
        <v>35</v>
      </c>
      <c r="E73" s="35" t="s">
        <v>34</v>
      </c>
      <c r="F73" s="36" t="str">
        <f>IF(AND(ISNUMBER($C73),ISNUMBER($E73)),$C73*$E73,"")</f>
        <v/>
      </c>
      <c r="G73" s="20"/>
      <c r="H73" s="199"/>
      <c r="I73" s="37"/>
      <c r="J73" s="37"/>
      <c r="K73" s="38"/>
    </row>
    <row r="74" spans="1:11" ht="49.5" customHeight="1" x14ac:dyDescent="0.25">
      <c r="A74" s="14" t="s">
        <v>80</v>
      </c>
      <c r="B74" s="15" t="s">
        <v>83</v>
      </c>
      <c r="C74" s="16">
        <v>1303.72</v>
      </c>
      <c r="D74" s="17" t="s">
        <v>23</v>
      </c>
      <c r="E74" s="18">
        <v>25</v>
      </c>
      <c r="F74" s="19">
        <f>IF(AND(ISNUMBER($C74),ISNUMBER($E74)),$C74*$E74,"")</f>
        <v>32593</v>
      </c>
      <c r="G74" s="20"/>
      <c r="H74" s="245"/>
      <c r="I74" s="21"/>
      <c r="J74" s="21"/>
      <c r="K74" s="22"/>
    </row>
    <row r="75" spans="1:11" ht="49.5" customHeight="1" x14ac:dyDescent="0.25">
      <c r="A75" s="14" t="s">
        <v>80</v>
      </c>
      <c r="B75" s="15" t="s">
        <v>84</v>
      </c>
      <c r="C75" s="16">
        <v>1</v>
      </c>
      <c r="D75" s="17" t="s">
        <v>19</v>
      </c>
      <c r="E75" s="18">
        <v>44001.15</v>
      </c>
      <c r="F75" s="19">
        <f>IF(AND(ISNUMBER($C75),ISNUMBER($E75)),$C75*$E75,"")</f>
        <v>44001.15</v>
      </c>
      <c r="G75" s="20"/>
      <c r="H75" s="245"/>
      <c r="I75" s="21"/>
      <c r="J75" s="21"/>
      <c r="K75" s="22"/>
    </row>
    <row r="76" spans="1:11" ht="78" customHeight="1" x14ac:dyDescent="0.25">
      <c r="A76" s="14" t="s">
        <v>80</v>
      </c>
      <c r="B76" s="15" t="s">
        <v>85</v>
      </c>
      <c r="C76" s="16">
        <v>1102.55</v>
      </c>
      <c r="D76" s="17" t="s">
        <v>23</v>
      </c>
      <c r="E76" s="18">
        <v>7.1873982268377903</v>
      </c>
      <c r="F76" s="19">
        <f>IF(AND(ISNUMBER($C76),ISNUMBER($E76)),$C76*$E76,"")</f>
        <v>7924.4659150000052</v>
      </c>
      <c r="G76" s="20"/>
      <c r="H76" s="245"/>
      <c r="I76" s="21"/>
      <c r="J76" s="21"/>
      <c r="K76" s="22"/>
    </row>
    <row r="77" spans="1:11" ht="49.5" customHeight="1" x14ac:dyDescent="0.25">
      <c r="A77" s="31" t="s">
        <v>80</v>
      </c>
      <c r="B77" s="32" t="s">
        <v>86</v>
      </c>
      <c r="C77" s="33" t="s">
        <v>34</v>
      </c>
      <c r="D77" s="34" t="s">
        <v>35</v>
      </c>
      <c r="E77" s="35" t="s">
        <v>34</v>
      </c>
      <c r="F77" s="36" t="str">
        <f>IF(AND(ISNUMBER($C77),ISNUMBER($E77)),$C77*$E77,"")</f>
        <v/>
      </c>
      <c r="G77" s="20"/>
      <c r="H77" s="199"/>
      <c r="I77" s="37"/>
      <c r="J77" s="37"/>
      <c r="K77" s="38"/>
    </row>
    <row r="78" spans="1:11" ht="36" customHeight="1" x14ac:dyDescent="0.25">
      <c r="A78" s="23" t="s">
        <v>80</v>
      </c>
      <c r="B78" s="24" t="s">
        <v>87</v>
      </c>
      <c r="C78" s="25" t="s">
        <v>34</v>
      </c>
      <c r="D78" s="26" t="s">
        <v>35</v>
      </c>
      <c r="E78" s="27" t="s">
        <v>34</v>
      </c>
      <c r="F78" s="28" t="str">
        <f>IF(AND(ISNUMBER($C78),ISNUMBER($E78)),$C78*$E78,"")</f>
        <v/>
      </c>
      <c r="G78" s="20"/>
      <c r="H78" s="200"/>
      <c r="I78" s="29"/>
      <c r="J78" s="29"/>
      <c r="K78" s="30"/>
    </row>
    <row r="79" spans="1:11" ht="49.5" customHeight="1" x14ac:dyDescent="0.25">
      <c r="A79" s="31" t="s">
        <v>80</v>
      </c>
      <c r="B79" s="32" t="s">
        <v>88</v>
      </c>
      <c r="C79" s="33" t="s">
        <v>34</v>
      </c>
      <c r="D79" s="34" t="s">
        <v>35</v>
      </c>
      <c r="E79" s="35" t="s">
        <v>34</v>
      </c>
      <c r="F79" s="36" t="str">
        <f>IF(AND(ISNUMBER($C79),ISNUMBER($E79)),$C79*$E79,"")</f>
        <v/>
      </c>
      <c r="G79" s="20"/>
      <c r="H79" s="199"/>
      <c r="I79" s="37"/>
      <c r="J79" s="37"/>
      <c r="K79" s="38"/>
    </row>
    <row r="80" spans="1:11" ht="49.5" customHeight="1" x14ac:dyDescent="0.25">
      <c r="A80" s="14" t="s">
        <v>80</v>
      </c>
      <c r="B80" s="15" t="s">
        <v>89</v>
      </c>
      <c r="C80" s="16">
        <v>148.5</v>
      </c>
      <c r="D80" s="17" t="s">
        <v>23</v>
      </c>
      <c r="E80" s="18">
        <v>4.6372537878787901</v>
      </c>
      <c r="F80" s="19">
        <f>IF(AND(ISNUMBER($C80),ISNUMBER($E80)),$C80*$E80,"")</f>
        <v>688.63218750000033</v>
      </c>
      <c r="G80" s="20"/>
      <c r="H80" s="245"/>
      <c r="I80" s="21"/>
      <c r="J80" s="21"/>
      <c r="K80" s="22"/>
    </row>
    <row r="81" spans="1:11" ht="49.5" customHeight="1" x14ac:dyDescent="0.25">
      <c r="A81" s="14" t="s">
        <v>80</v>
      </c>
      <c r="B81" s="15" t="s">
        <v>90</v>
      </c>
      <c r="C81" s="16">
        <v>1160.3</v>
      </c>
      <c r="D81" s="17" t="s">
        <v>23</v>
      </c>
      <c r="E81" s="18">
        <v>6.1457379255365003</v>
      </c>
      <c r="F81" s="19">
        <f>IF(AND(ISNUMBER($C81),ISNUMBER($E81)),$C81*$E81,"")</f>
        <v>7130.8997150000014</v>
      </c>
      <c r="G81" s="20"/>
      <c r="H81" s="245"/>
      <c r="I81" s="21"/>
      <c r="J81" s="21"/>
      <c r="K81" s="22"/>
    </row>
    <row r="82" spans="1:11" ht="105.75" customHeight="1" x14ac:dyDescent="0.25">
      <c r="A82" s="23" t="s">
        <v>80</v>
      </c>
      <c r="B82" s="24" t="s">
        <v>91</v>
      </c>
      <c r="C82" s="25" t="s">
        <v>34</v>
      </c>
      <c r="D82" s="26" t="s">
        <v>35</v>
      </c>
      <c r="E82" s="27" t="s">
        <v>34</v>
      </c>
      <c r="F82" s="28" t="str">
        <f>IF(AND(ISNUMBER($C82),ISNUMBER($E82)),$C82*$E82,"")</f>
        <v/>
      </c>
      <c r="G82" s="20"/>
      <c r="H82" s="200"/>
      <c r="I82" s="29"/>
      <c r="J82" s="29"/>
      <c r="K82" s="30"/>
    </row>
    <row r="83" spans="1:11" ht="36" customHeight="1" x14ac:dyDescent="0.25">
      <c r="A83" s="31" t="s">
        <v>80</v>
      </c>
      <c r="B83" s="32" t="s">
        <v>92</v>
      </c>
      <c r="C83" s="33" t="s">
        <v>34</v>
      </c>
      <c r="D83" s="34" t="s">
        <v>35</v>
      </c>
      <c r="E83" s="35" t="s">
        <v>34</v>
      </c>
      <c r="F83" s="36" t="str">
        <f>IF(AND(ISNUMBER($C83),ISNUMBER($E83)),$C83*$E83,"")</f>
        <v/>
      </c>
      <c r="G83" s="20"/>
      <c r="H83" s="199"/>
      <c r="I83" s="37"/>
      <c r="J83" s="37"/>
      <c r="K83" s="38"/>
    </row>
    <row r="84" spans="1:11" ht="49.5" customHeight="1" x14ac:dyDescent="0.25">
      <c r="A84" s="23" t="s">
        <v>80</v>
      </c>
      <c r="B84" s="24" t="s">
        <v>93</v>
      </c>
      <c r="C84" s="25" t="s">
        <v>34</v>
      </c>
      <c r="D84" s="26" t="s">
        <v>35</v>
      </c>
      <c r="E84" s="27" t="s">
        <v>34</v>
      </c>
      <c r="F84" s="28" t="str">
        <f>IF(AND(ISNUMBER($C84),ISNUMBER($E84)),$C84*$E84,"")</f>
        <v/>
      </c>
      <c r="G84" s="20"/>
      <c r="H84" s="200"/>
      <c r="I84" s="29"/>
      <c r="J84" s="29"/>
      <c r="K84" s="30"/>
    </row>
    <row r="85" spans="1:11" ht="49.5" customHeight="1" x14ac:dyDescent="0.25">
      <c r="A85" s="31" t="s">
        <v>80</v>
      </c>
      <c r="B85" s="32" t="s">
        <v>94</v>
      </c>
      <c r="C85" s="33" t="s">
        <v>34</v>
      </c>
      <c r="D85" s="34" t="s">
        <v>35</v>
      </c>
      <c r="E85" s="35" t="s">
        <v>34</v>
      </c>
      <c r="F85" s="36" t="str">
        <f>IF(AND(ISNUMBER($C85),ISNUMBER($E85)),$C85*$E85,"")</f>
        <v/>
      </c>
      <c r="G85" s="20"/>
      <c r="H85" s="199"/>
      <c r="I85" s="37"/>
      <c r="J85" s="37"/>
      <c r="K85" s="38"/>
    </row>
    <row r="86" spans="1:11" ht="49.5" customHeight="1" x14ac:dyDescent="0.25">
      <c r="A86" s="14" t="s">
        <v>80</v>
      </c>
      <c r="B86" s="15" t="s">
        <v>95</v>
      </c>
      <c r="C86" s="16">
        <v>218.34</v>
      </c>
      <c r="D86" s="17" t="s">
        <v>23</v>
      </c>
      <c r="E86" s="18">
        <v>1.0478565333882901</v>
      </c>
      <c r="F86" s="19">
        <f>IF(AND(ISNUMBER($C86),ISNUMBER($E86)),$C86*$E86,"")</f>
        <v>228.78899549999926</v>
      </c>
      <c r="G86" s="20"/>
      <c r="H86" s="245"/>
      <c r="I86" s="21"/>
      <c r="J86" s="21"/>
      <c r="K86" s="22"/>
    </row>
    <row r="87" spans="1:11" ht="63.75" customHeight="1" x14ac:dyDescent="0.25">
      <c r="A87" s="23" t="s">
        <v>80</v>
      </c>
      <c r="B87" s="24" t="s">
        <v>96</v>
      </c>
      <c r="C87" s="25" t="s">
        <v>34</v>
      </c>
      <c r="D87" s="26" t="s">
        <v>35</v>
      </c>
      <c r="E87" s="27" t="s">
        <v>34</v>
      </c>
      <c r="F87" s="28" t="str">
        <f>IF(AND(ISNUMBER($C87),ISNUMBER($E87)),$C87*$E87,"")</f>
        <v/>
      </c>
      <c r="G87" s="20"/>
      <c r="H87" s="200"/>
      <c r="I87" s="29"/>
      <c r="J87" s="29"/>
      <c r="K87" s="30"/>
    </row>
    <row r="88" spans="1:11" ht="49.5" customHeight="1" x14ac:dyDescent="0.25">
      <c r="A88" s="31" t="s">
        <v>80</v>
      </c>
      <c r="B88" s="32" t="s">
        <v>97</v>
      </c>
      <c r="C88" s="33" t="s">
        <v>34</v>
      </c>
      <c r="D88" s="34" t="s">
        <v>35</v>
      </c>
      <c r="E88" s="35" t="s">
        <v>34</v>
      </c>
      <c r="F88" s="36" t="str">
        <f>IF(AND(ISNUMBER($C88),ISNUMBER($E88)),$C88*$E88,"")</f>
        <v/>
      </c>
      <c r="G88" s="20"/>
      <c r="H88" s="199"/>
      <c r="I88" s="37"/>
      <c r="J88" s="37"/>
      <c r="K88" s="38"/>
    </row>
    <row r="89" spans="1:11" ht="63.75" customHeight="1" x14ac:dyDescent="0.25">
      <c r="A89" s="23" t="s">
        <v>80</v>
      </c>
      <c r="B89" s="24" t="s">
        <v>98</v>
      </c>
      <c r="C89" s="25" t="s">
        <v>34</v>
      </c>
      <c r="D89" s="26" t="s">
        <v>35</v>
      </c>
      <c r="E89" s="27" t="s">
        <v>34</v>
      </c>
      <c r="F89" s="28" t="str">
        <f>IF(AND(ISNUMBER($C89),ISNUMBER($E89)),$C89*$E89,"")</f>
        <v/>
      </c>
      <c r="G89" s="20"/>
      <c r="H89" s="200"/>
      <c r="I89" s="29"/>
      <c r="J89" s="29"/>
      <c r="K89" s="30"/>
    </row>
    <row r="90" spans="1:11" ht="63.75" customHeight="1" x14ac:dyDescent="0.25">
      <c r="A90" s="31" t="s">
        <v>80</v>
      </c>
      <c r="B90" s="32" t="s">
        <v>99</v>
      </c>
      <c r="C90" s="33">
        <v>15</v>
      </c>
      <c r="D90" s="34" t="s">
        <v>21</v>
      </c>
      <c r="E90" s="35">
        <v>12</v>
      </c>
      <c r="F90" s="36">
        <f>IF(AND(ISNUMBER($C90),ISNUMBER($E90)),$C90*$E90,"")</f>
        <v>180</v>
      </c>
      <c r="G90" s="20"/>
      <c r="H90" s="199"/>
      <c r="I90" s="37"/>
      <c r="J90" s="37"/>
      <c r="K90" s="38"/>
    </row>
    <row r="91" spans="1:11" ht="49.5" customHeight="1" x14ac:dyDescent="0.25">
      <c r="A91" s="23" t="s">
        <v>80</v>
      </c>
      <c r="B91" s="24" t="s">
        <v>100</v>
      </c>
      <c r="C91" s="25" t="s">
        <v>34</v>
      </c>
      <c r="D91" s="26" t="s">
        <v>35</v>
      </c>
      <c r="E91" s="27" t="s">
        <v>34</v>
      </c>
      <c r="F91" s="28" t="str">
        <f>IF(AND(ISNUMBER($C91),ISNUMBER($E91)),$C91*$E91,"")</f>
        <v/>
      </c>
      <c r="G91" s="20"/>
      <c r="H91" s="200"/>
      <c r="I91" s="29"/>
      <c r="J91" s="29"/>
      <c r="K91" s="30"/>
    </row>
    <row r="92" spans="1:11" ht="49.5" customHeight="1" x14ac:dyDescent="0.25">
      <c r="A92" s="31" t="s">
        <v>80</v>
      </c>
      <c r="B92" s="32" t="s">
        <v>101</v>
      </c>
      <c r="C92" s="33" t="s">
        <v>34</v>
      </c>
      <c r="D92" s="34" t="s">
        <v>35</v>
      </c>
      <c r="E92" s="35" t="s">
        <v>34</v>
      </c>
      <c r="F92" s="36" t="str">
        <f>IF(AND(ISNUMBER($C92),ISNUMBER($E92)),$C92*$E92,"")</f>
        <v/>
      </c>
      <c r="G92" s="20"/>
      <c r="H92" s="199"/>
      <c r="I92" s="37"/>
      <c r="J92" s="37"/>
      <c r="K92" s="38"/>
    </row>
    <row r="93" spans="1:11" ht="49.5" customHeight="1" x14ac:dyDescent="0.25">
      <c r="A93" s="31" t="s">
        <v>80</v>
      </c>
      <c r="B93" s="32" t="s">
        <v>102</v>
      </c>
      <c r="C93" s="33">
        <v>164.3</v>
      </c>
      <c r="D93" s="34" t="s">
        <v>21</v>
      </c>
      <c r="E93" s="35">
        <v>14</v>
      </c>
      <c r="F93" s="36">
        <f>IF(AND(ISNUMBER($C93),ISNUMBER($E93)),$C93*$E93,"")</f>
        <v>2300.2000000000003</v>
      </c>
      <c r="G93" s="20"/>
      <c r="H93" s="199"/>
      <c r="I93" s="37"/>
      <c r="J93" s="37"/>
      <c r="K93" s="38"/>
    </row>
    <row r="94" spans="1:11" ht="49.5" customHeight="1" x14ac:dyDescent="0.25">
      <c r="A94" s="31" t="s">
        <v>80</v>
      </c>
      <c r="B94" s="32" t="s">
        <v>103</v>
      </c>
      <c r="C94" s="33">
        <v>119</v>
      </c>
      <c r="D94" s="34" t="s">
        <v>26</v>
      </c>
      <c r="E94" s="35">
        <v>23.19</v>
      </c>
      <c r="F94" s="36">
        <f>IF(AND(ISNUMBER($C94),ISNUMBER($E94)),$C94*$E94,"")</f>
        <v>2759.61</v>
      </c>
      <c r="G94" s="20"/>
      <c r="H94" s="199"/>
      <c r="I94" s="37"/>
      <c r="J94" s="37"/>
      <c r="K94" s="38"/>
    </row>
    <row r="95" spans="1:11" ht="49.5" customHeight="1" x14ac:dyDescent="0.25">
      <c r="A95" s="31" t="s">
        <v>80</v>
      </c>
      <c r="B95" s="32" t="s">
        <v>104</v>
      </c>
      <c r="C95" s="33">
        <v>236.54</v>
      </c>
      <c r="D95" s="34" t="s">
        <v>21</v>
      </c>
      <c r="E95" s="35">
        <v>1.94</v>
      </c>
      <c r="F95" s="36">
        <f>IF(AND(ISNUMBER($C95),ISNUMBER($E95)),$C95*$E95,"")</f>
        <v>458.88759999999996</v>
      </c>
      <c r="G95" s="20"/>
      <c r="H95" s="199"/>
      <c r="I95" s="37"/>
      <c r="J95" s="37"/>
      <c r="K95" s="38"/>
    </row>
    <row r="96" spans="1:11" ht="49.5" customHeight="1" x14ac:dyDescent="0.25">
      <c r="A96" s="23" t="s">
        <v>80</v>
      </c>
      <c r="B96" s="32" t="s">
        <v>105</v>
      </c>
      <c r="C96" s="33">
        <v>118.27</v>
      </c>
      <c r="D96" s="34" t="s">
        <v>21</v>
      </c>
      <c r="E96" s="35">
        <v>1.94</v>
      </c>
      <c r="F96" s="36">
        <f>IF(AND(ISNUMBER($C96),ISNUMBER($E96)),$C96*$E96,"")</f>
        <v>229.44379999999998</v>
      </c>
      <c r="G96" s="20"/>
      <c r="H96" s="199"/>
      <c r="I96" s="37"/>
      <c r="J96" s="37"/>
      <c r="K96" s="38"/>
    </row>
    <row r="97" spans="1:11" ht="49.5" customHeight="1" x14ac:dyDescent="0.25">
      <c r="A97" s="31" t="s">
        <v>80</v>
      </c>
      <c r="B97" s="32" t="s">
        <v>106</v>
      </c>
      <c r="C97" s="33">
        <v>30</v>
      </c>
      <c r="D97" s="34" t="s">
        <v>26</v>
      </c>
      <c r="E97" s="35">
        <v>63.59</v>
      </c>
      <c r="F97" s="36">
        <f>IF(AND(ISNUMBER($C97),ISNUMBER($E97)),$C97*$E97,"")</f>
        <v>1907.7</v>
      </c>
      <c r="G97" s="20"/>
      <c r="H97" s="199"/>
      <c r="I97" s="37"/>
      <c r="J97" s="37"/>
      <c r="K97" s="38"/>
    </row>
    <row r="98" spans="1:11" ht="49.5" customHeight="1" x14ac:dyDescent="0.25">
      <c r="A98" s="31" t="s">
        <v>80</v>
      </c>
      <c r="B98" s="32" t="s">
        <v>107</v>
      </c>
      <c r="C98" s="33">
        <v>30</v>
      </c>
      <c r="D98" s="34" t="s">
        <v>26</v>
      </c>
      <c r="E98" s="35">
        <v>12.16</v>
      </c>
      <c r="F98" s="36">
        <f>IF(AND(ISNUMBER($C98),ISNUMBER($E98)),$C98*$E98,"")</f>
        <v>364.8</v>
      </c>
      <c r="G98" s="20"/>
      <c r="H98" s="199"/>
      <c r="I98" s="37"/>
      <c r="J98" s="37"/>
      <c r="K98" s="38"/>
    </row>
    <row r="99" spans="1:11" ht="49.5" customHeight="1" x14ac:dyDescent="0.25">
      <c r="A99" s="31" t="s">
        <v>80</v>
      </c>
      <c r="B99" s="32" t="s">
        <v>108</v>
      </c>
      <c r="C99" s="33">
        <v>59.16</v>
      </c>
      <c r="D99" s="34" t="s">
        <v>21</v>
      </c>
      <c r="E99" s="35">
        <v>1.94</v>
      </c>
      <c r="F99" s="36">
        <f>IF(AND(ISNUMBER($C99),ISNUMBER($E99)),$C99*$E99,"")</f>
        <v>114.7704</v>
      </c>
      <c r="G99" s="20"/>
      <c r="H99" s="199"/>
      <c r="I99" s="37"/>
      <c r="J99" s="37"/>
      <c r="K99" s="38"/>
    </row>
    <row r="100" spans="1:11" ht="49.5" customHeight="1" x14ac:dyDescent="0.25">
      <c r="A100" s="31" t="s">
        <v>80</v>
      </c>
      <c r="B100" s="32" t="s">
        <v>109</v>
      </c>
      <c r="C100" s="33">
        <v>29.58</v>
      </c>
      <c r="D100" s="34" t="s">
        <v>21</v>
      </c>
      <c r="E100" s="35">
        <v>1.94</v>
      </c>
      <c r="F100" s="36">
        <f>IF(AND(ISNUMBER($C100),ISNUMBER($E100)),$C100*$E100,"")</f>
        <v>57.385199999999998</v>
      </c>
      <c r="G100" s="20"/>
      <c r="H100" s="199"/>
      <c r="I100" s="37"/>
      <c r="J100" s="37"/>
      <c r="K100" s="38"/>
    </row>
    <row r="101" spans="1:11" ht="49.5" customHeight="1" x14ac:dyDescent="0.25">
      <c r="A101" s="31" t="s">
        <v>80</v>
      </c>
      <c r="B101" s="32" t="s">
        <v>110</v>
      </c>
      <c r="C101" s="33">
        <v>11</v>
      </c>
      <c r="D101" s="34" t="s">
        <v>26</v>
      </c>
      <c r="E101" s="35">
        <v>12.16</v>
      </c>
      <c r="F101" s="36">
        <f>IF(AND(ISNUMBER($C101),ISNUMBER($E101)),$C101*$E101,"")</f>
        <v>133.76</v>
      </c>
      <c r="G101" s="20"/>
      <c r="H101" s="199"/>
      <c r="I101" s="37"/>
      <c r="J101" s="37"/>
      <c r="K101" s="38"/>
    </row>
    <row r="102" spans="1:11" ht="49.5" customHeight="1" x14ac:dyDescent="0.25">
      <c r="A102" s="31" t="s">
        <v>80</v>
      </c>
      <c r="B102" s="32" t="s">
        <v>111</v>
      </c>
      <c r="C102" s="33">
        <v>21.56</v>
      </c>
      <c r="D102" s="34" t="s">
        <v>21</v>
      </c>
      <c r="E102" s="35">
        <v>1.94</v>
      </c>
      <c r="F102" s="36">
        <f>IF(AND(ISNUMBER($C102),ISNUMBER($E102)),$C102*$E102,"")</f>
        <v>41.8264</v>
      </c>
      <c r="G102" s="20"/>
      <c r="H102" s="199"/>
      <c r="I102" s="37"/>
      <c r="J102" s="37"/>
      <c r="K102" s="38"/>
    </row>
    <row r="103" spans="1:11" ht="49.5" customHeight="1" x14ac:dyDescent="0.25">
      <c r="A103" s="31" t="s">
        <v>80</v>
      </c>
      <c r="B103" s="32" t="s">
        <v>112</v>
      </c>
      <c r="C103" s="33">
        <v>10.78</v>
      </c>
      <c r="D103" s="34" t="s">
        <v>21</v>
      </c>
      <c r="E103" s="35">
        <v>1.94</v>
      </c>
      <c r="F103" s="36">
        <f>IF(AND(ISNUMBER($C103),ISNUMBER($E103)),$C103*$E103,"")</f>
        <v>20.9132</v>
      </c>
      <c r="G103" s="20"/>
      <c r="H103" s="199"/>
      <c r="I103" s="37"/>
      <c r="J103" s="37"/>
      <c r="K103" s="38"/>
    </row>
    <row r="104" spans="1:11" ht="49.5" customHeight="1" x14ac:dyDescent="0.25">
      <c r="A104" s="31" t="s">
        <v>80</v>
      </c>
      <c r="B104" s="32" t="s">
        <v>113</v>
      </c>
      <c r="C104" s="33">
        <v>25</v>
      </c>
      <c r="D104" s="34" t="s">
        <v>26</v>
      </c>
      <c r="E104" s="35">
        <v>17.399999999999999</v>
      </c>
      <c r="F104" s="36">
        <f>IF(AND(ISNUMBER($C104),ISNUMBER($E104)),$C104*$E104,"")</f>
        <v>434.99999999999994</v>
      </c>
      <c r="G104" s="20"/>
      <c r="H104" s="199"/>
      <c r="I104" s="37"/>
      <c r="J104" s="37"/>
      <c r="K104" s="38"/>
    </row>
    <row r="105" spans="1:11" ht="49.5" customHeight="1" x14ac:dyDescent="0.25">
      <c r="A105" s="31" t="s">
        <v>80</v>
      </c>
      <c r="B105" s="32" t="s">
        <v>114</v>
      </c>
      <c r="C105" s="33">
        <v>49.76</v>
      </c>
      <c r="D105" s="34" t="s">
        <v>21</v>
      </c>
      <c r="E105" s="35">
        <v>1.94</v>
      </c>
      <c r="F105" s="36">
        <f>IF(AND(ISNUMBER($C105),ISNUMBER($E105)),$C105*$E105,"")</f>
        <v>96.534399999999991</v>
      </c>
      <c r="G105" s="20"/>
      <c r="H105" s="199"/>
      <c r="I105" s="37"/>
      <c r="J105" s="37"/>
      <c r="K105" s="38"/>
    </row>
    <row r="106" spans="1:11" ht="49.5" customHeight="1" x14ac:dyDescent="0.25">
      <c r="A106" s="31" t="s">
        <v>80</v>
      </c>
      <c r="B106" s="32" t="s">
        <v>115</v>
      </c>
      <c r="C106" s="33">
        <v>24.88</v>
      </c>
      <c r="D106" s="34" t="s">
        <v>21</v>
      </c>
      <c r="E106" s="35">
        <v>1.94</v>
      </c>
      <c r="F106" s="36">
        <f>IF(AND(ISNUMBER($C106),ISNUMBER($E106)),$C106*$E106,"")</f>
        <v>48.267199999999995</v>
      </c>
      <c r="G106" s="20"/>
      <c r="H106" s="199"/>
      <c r="I106" s="37"/>
      <c r="J106" s="37"/>
      <c r="K106" s="38"/>
    </row>
    <row r="107" spans="1:11" ht="18.75" customHeight="1" x14ac:dyDescent="0.25">
      <c r="A107" s="213" t="s">
        <v>28</v>
      </c>
      <c r="B107" s="213"/>
      <c r="C107" s="213"/>
      <c r="D107" s="213"/>
      <c r="E107" s="39"/>
      <c r="F107" s="40">
        <f>IF(SUM(F72:F106)=0,"-",SUM(F72:F106))</f>
        <v>101716.035013</v>
      </c>
      <c r="G107" s="41"/>
      <c r="H107" s="204">
        <f>IF(SUM(H71:H106)=0,"-",SUM(H71:H106))</f>
        <v>72500</v>
      </c>
      <c r="I107" s="40" t="str">
        <f>IF(SUM(I71:I106)=0,"-",SUM(I71:I106))</f>
        <v>-</v>
      </c>
      <c r="J107" s="40" t="str">
        <f>IF(SUM(J71:J106)=0,"-",SUM(J71:J106))</f>
        <v>-</v>
      </c>
      <c r="K107" s="42" t="str">
        <f>IF(SUM(K71:K106)=0,"-",SUM(K71:K106))</f>
        <v>-</v>
      </c>
    </row>
    <row r="108" spans="1:11" ht="6.75" customHeight="1" x14ac:dyDescent="0.25"/>
    <row r="109" spans="1:11" ht="18.75" customHeight="1" x14ac:dyDescent="0.25">
      <c r="A109" s="212" t="s">
        <v>116</v>
      </c>
      <c r="B109" s="212"/>
      <c r="C109" s="212"/>
      <c r="D109" s="212"/>
      <c r="E109" s="212"/>
      <c r="F109" s="212"/>
      <c r="G109" s="6"/>
      <c r="H109" s="7" t="s">
        <v>12</v>
      </c>
      <c r="I109" s="8" t="s">
        <v>13</v>
      </c>
      <c r="J109" s="8" t="s">
        <v>14</v>
      </c>
      <c r="K109" s="9" t="s">
        <v>15</v>
      </c>
    </row>
    <row r="110" spans="1:11" ht="18.75" customHeight="1" x14ac:dyDescent="0.25">
      <c r="A110" s="212"/>
      <c r="B110" s="212"/>
      <c r="C110" s="212"/>
      <c r="D110" s="212"/>
      <c r="E110" s="212"/>
      <c r="F110" s="212"/>
      <c r="G110" s="10"/>
      <c r="H110" s="11"/>
      <c r="I110" s="12"/>
      <c r="J110" s="12"/>
      <c r="K110" s="13"/>
    </row>
    <row r="111" spans="1:11" ht="78" customHeight="1" x14ac:dyDescent="0.25">
      <c r="A111" s="14" t="s">
        <v>117</v>
      </c>
      <c r="B111" s="15" t="s">
        <v>118</v>
      </c>
      <c r="C111" s="16">
        <f>2405.66*1.1</f>
        <v>2646.2260000000001</v>
      </c>
      <c r="D111" s="17" t="s">
        <v>23</v>
      </c>
      <c r="E111" s="18">
        <v>26</v>
      </c>
      <c r="F111" s="19">
        <f>IF(AND(ISNUMBER($C111),ISNUMBER($E111)),$C111*$E111,"")</f>
        <v>68801.876000000004</v>
      </c>
      <c r="G111" s="20"/>
      <c r="H111" s="245"/>
      <c r="I111" s="21"/>
      <c r="J111" s="21"/>
      <c r="K111" s="22"/>
    </row>
    <row r="112" spans="1:11" ht="49.5" customHeight="1" x14ac:dyDescent="0.25">
      <c r="A112" s="31" t="s">
        <v>80</v>
      </c>
      <c r="B112" s="24" t="s">
        <v>119</v>
      </c>
      <c r="C112" s="16">
        <f>2405.66*1.1</f>
        <v>2646.2260000000001</v>
      </c>
      <c r="D112" s="17" t="s">
        <v>23</v>
      </c>
      <c r="E112" s="27">
        <v>11</v>
      </c>
      <c r="F112" s="28">
        <f>IF(AND(ISNUMBER($C112),ISNUMBER($E112)),$C112*$E112,"")</f>
        <v>29108.486000000001</v>
      </c>
      <c r="G112" s="20"/>
      <c r="H112" s="200"/>
      <c r="I112" s="29"/>
      <c r="J112" s="29"/>
      <c r="K112" s="30"/>
    </row>
    <row r="113" spans="1:11" ht="49.5" customHeight="1" x14ac:dyDescent="0.25">
      <c r="A113" s="31" t="s">
        <v>117</v>
      </c>
      <c r="B113" s="32" t="s">
        <v>120</v>
      </c>
      <c r="C113" s="33">
        <v>1</v>
      </c>
      <c r="D113" s="206" t="s">
        <v>19</v>
      </c>
      <c r="E113" s="35">
        <v>3</v>
      </c>
      <c r="F113" s="36">
        <f>IF(AND(ISNUMBER($C113),ISNUMBER($E113)),$C113*$E113,"")</f>
        <v>3</v>
      </c>
      <c r="G113" s="20"/>
      <c r="H113" s="199"/>
      <c r="I113" s="37"/>
      <c r="J113" s="37"/>
      <c r="K113" s="38"/>
    </row>
    <row r="114" spans="1:11" ht="36" customHeight="1" thickBot="1" x14ac:dyDescent="0.3">
      <c r="A114" s="23" t="s">
        <v>117</v>
      </c>
      <c r="B114" s="24" t="s">
        <v>121</v>
      </c>
      <c r="C114" s="25">
        <v>18</v>
      </c>
      <c r="D114" s="26" t="s">
        <v>26</v>
      </c>
      <c r="E114" s="27">
        <v>400</v>
      </c>
      <c r="F114" s="28">
        <f>IF(AND(ISNUMBER($C114),ISNUMBER($E114)),$C114*$E114,"")</f>
        <v>7200</v>
      </c>
      <c r="G114" s="20"/>
      <c r="H114" s="200"/>
      <c r="I114" s="29"/>
      <c r="J114" s="29"/>
      <c r="K114" s="30"/>
    </row>
    <row r="115" spans="1:11" ht="18.75" customHeight="1" thickBot="1" x14ac:dyDescent="0.3">
      <c r="A115" s="213" t="s">
        <v>28</v>
      </c>
      <c r="B115" s="213"/>
      <c r="C115" s="213"/>
      <c r="D115" s="213"/>
      <c r="E115" s="39"/>
      <c r="F115" s="40">
        <f>IF(SUM(F111:F114)=0,"-",SUM(F111:F114))</f>
        <v>105113.36200000001</v>
      </c>
      <c r="G115" s="41"/>
      <c r="H115" s="204" t="str">
        <f>IF(SUM(H110:H114)=0,"-",SUM(H110:H114))</f>
        <v>-</v>
      </c>
      <c r="I115" s="40" t="str">
        <f>IF(SUM(I110:I114)=0,"-",SUM(I110:I114))</f>
        <v>-</v>
      </c>
      <c r="J115" s="40" t="str">
        <f>IF(SUM(J110:J114)=0,"-",SUM(J110:J114))</f>
        <v>-</v>
      </c>
      <c r="K115" s="42" t="str">
        <f>IF(SUM(K110:K114)=0,"-",SUM(K110:K114))</f>
        <v>-</v>
      </c>
    </row>
    <row r="116" spans="1:11" ht="6.75" customHeight="1" x14ac:dyDescent="0.25"/>
    <row r="117" spans="1:11" ht="18.75" customHeight="1" x14ac:dyDescent="0.25">
      <c r="A117" s="212" t="s">
        <v>122</v>
      </c>
      <c r="B117" s="212"/>
      <c r="C117" s="212"/>
      <c r="D117" s="212"/>
      <c r="E117" s="212"/>
      <c r="F117" s="212"/>
      <c r="G117" s="6"/>
      <c r="H117" s="7" t="s">
        <v>12</v>
      </c>
      <c r="I117" s="8" t="s">
        <v>13</v>
      </c>
      <c r="J117" s="8" t="s">
        <v>14</v>
      </c>
      <c r="K117" s="9" t="s">
        <v>15</v>
      </c>
    </row>
    <row r="118" spans="1:11" ht="18.75" customHeight="1" thickBot="1" x14ac:dyDescent="0.3">
      <c r="A118" s="212"/>
      <c r="B118" s="212"/>
      <c r="C118" s="212"/>
      <c r="D118" s="212"/>
      <c r="E118" s="212"/>
      <c r="F118" s="212"/>
      <c r="G118" s="10"/>
      <c r="H118" s="11"/>
      <c r="I118" s="12"/>
      <c r="J118" s="12"/>
      <c r="K118" s="13"/>
    </row>
    <row r="119" spans="1:11" ht="63.75" customHeight="1" x14ac:dyDescent="0.25">
      <c r="A119" s="31" t="s">
        <v>123</v>
      </c>
      <c r="B119" s="32" t="s">
        <v>124</v>
      </c>
      <c r="C119" s="33">
        <v>348</v>
      </c>
      <c r="D119" s="34" t="s">
        <v>21</v>
      </c>
      <c r="E119" s="35">
        <v>18</v>
      </c>
      <c r="F119" s="36">
        <f>IF(AND(ISNUMBER($C119),ISNUMBER($E119)),$C119*$E119,"")</f>
        <v>6264</v>
      </c>
      <c r="G119" s="20"/>
      <c r="H119" s="199"/>
      <c r="I119" s="37"/>
      <c r="J119" s="37"/>
      <c r="K119" s="38"/>
    </row>
    <row r="120" spans="1:11" ht="63.75" customHeight="1" x14ac:dyDescent="0.25">
      <c r="A120" s="31" t="s">
        <v>125</v>
      </c>
      <c r="B120" s="32" t="s">
        <v>1613</v>
      </c>
      <c r="C120" s="33">
        <v>21</v>
      </c>
      <c r="D120" s="34" t="s">
        <v>26</v>
      </c>
      <c r="E120" s="35">
        <v>300</v>
      </c>
      <c r="F120" s="36">
        <f>IF(AND(ISNUMBER($C120),ISNUMBER($E120)),$C120*$E120,"")</f>
        <v>6300</v>
      </c>
      <c r="G120" s="20"/>
      <c r="H120" s="199"/>
      <c r="I120" s="37"/>
      <c r="J120" s="37"/>
      <c r="K120" s="38"/>
    </row>
    <row r="121" spans="1:11" ht="49.5" customHeight="1" x14ac:dyDescent="0.25">
      <c r="A121" s="23" t="s">
        <v>125</v>
      </c>
      <c r="B121" s="24" t="s">
        <v>126</v>
      </c>
      <c r="C121" s="25">
        <v>38</v>
      </c>
      <c r="D121" s="26" t="s">
        <v>26</v>
      </c>
      <c r="E121" s="27">
        <v>900</v>
      </c>
      <c r="F121" s="28">
        <f>IF(AND(ISNUMBER($C121),ISNUMBER($E121)),$C121*$E121,"")</f>
        <v>34200</v>
      </c>
      <c r="G121" s="20"/>
      <c r="H121" s="200"/>
      <c r="I121" s="29"/>
      <c r="J121" s="29"/>
      <c r="K121" s="30"/>
    </row>
    <row r="122" spans="1:11" ht="49.5" customHeight="1" x14ac:dyDescent="0.25">
      <c r="A122" s="23" t="s">
        <v>125</v>
      </c>
      <c r="B122" s="24" t="s">
        <v>127</v>
      </c>
      <c r="C122" s="25">
        <v>1</v>
      </c>
      <c r="D122" s="26" t="s">
        <v>19</v>
      </c>
      <c r="E122" s="27">
        <v>800</v>
      </c>
      <c r="F122" s="28">
        <f>IF(AND(ISNUMBER($C122),ISNUMBER($E122)),$C122*$E122,"")</f>
        <v>800</v>
      </c>
      <c r="G122" s="20"/>
      <c r="H122" s="200"/>
      <c r="I122" s="29"/>
      <c r="J122" s="29"/>
      <c r="K122" s="30"/>
    </row>
    <row r="123" spans="1:11" ht="49.5" customHeight="1" x14ac:dyDescent="0.25">
      <c r="A123" s="31" t="s">
        <v>125</v>
      </c>
      <c r="B123" s="32" t="s">
        <v>128</v>
      </c>
      <c r="C123" s="33">
        <v>1000.09</v>
      </c>
      <c r="D123" s="34" t="s">
        <v>23</v>
      </c>
      <c r="E123" s="35">
        <v>28</v>
      </c>
      <c r="F123" s="36">
        <f>IF(AND(ISNUMBER($C123),ISNUMBER($E123)),$C123*$E123,"")</f>
        <v>28002.52</v>
      </c>
      <c r="G123" s="20"/>
      <c r="H123" s="199"/>
      <c r="I123" s="37"/>
      <c r="J123" s="37"/>
      <c r="K123" s="38"/>
    </row>
    <row r="124" spans="1:11" ht="49.5" customHeight="1" x14ac:dyDescent="0.25">
      <c r="A124" s="31" t="s">
        <v>125</v>
      </c>
      <c r="B124" s="32" t="s">
        <v>129</v>
      </c>
      <c r="C124" s="33">
        <v>799.01</v>
      </c>
      <c r="D124" s="34" t="s">
        <v>21</v>
      </c>
      <c r="E124" s="35">
        <v>20</v>
      </c>
      <c r="F124" s="36">
        <f>IF(AND(ISNUMBER($C124),ISNUMBER($E124)),$C124*$E124,"")</f>
        <v>15980.2</v>
      </c>
      <c r="G124" s="20"/>
      <c r="H124" s="199"/>
      <c r="I124" s="37"/>
      <c r="J124" s="37"/>
      <c r="K124" s="38"/>
    </row>
    <row r="125" spans="1:11" ht="49.5" customHeight="1" x14ac:dyDescent="0.25">
      <c r="A125" s="31" t="s">
        <v>125</v>
      </c>
      <c r="B125" s="32" t="s">
        <v>130</v>
      </c>
      <c r="C125" s="33">
        <v>559.49</v>
      </c>
      <c r="D125" s="34" t="s">
        <v>21</v>
      </c>
      <c r="E125" s="35">
        <v>8</v>
      </c>
      <c r="F125" s="36">
        <f>IF(AND(ISNUMBER($C125),ISNUMBER($E125)),$C125*$E125,"")</f>
        <v>4475.92</v>
      </c>
      <c r="G125" s="20"/>
      <c r="H125" s="199"/>
      <c r="I125" s="37"/>
      <c r="J125" s="37"/>
      <c r="K125" s="38"/>
    </row>
    <row r="126" spans="1:11" ht="49.5" customHeight="1" x14ac:dyDescent="0.25">
      <c r="A126" s="31" t="s">
        <v>125</v>
      </c>
      <c r="B126" s="32" t="s">
        <v>131</v>
      </c>
      <c r="C126" s="33">
        <v>68.02</v>
      </c>
      <c r="D126" s="34" t="s">
        <v>23</v>
      </c>
      <c r="E126" s="35">
        <v>45</v>
      </c>
      <c r="F126" s="36">
        <f>IF(AND(ISNUMBER($C126),ISNUMBER($E126)),$C126*$E126,"")</f>
        <v>3060.8999999999996</v>
      </c>
      <c r="G126" s="20"/>
      <c r="H126" s="199"/>
      <c r="I126" s="37"/>
      <c r="J126" s="37"/>
      <c r="K126" s="38"/>
    </row>
    <row r="127" spans="1:11" ht="49.5" customHeight="1" x14ac:dyDescent="0.25">
      <c r="A127" s="23" t="s">
        <v>117</v>
      </c>
      <c r="B127" s="32" t="s">
        <v>132</v>
      </c>
      <c r="C127" s="33">
        <v>124.04</v>
      </c>
      <c r="D127" s="34" t="s">
        <v>21</v>
      </c>
      <c r="E127" s="35">
        <v>50</v>
      </c>
      <c r="F127" s="36">
        <f>IF(AND(ISNUMBER($C127),ISNUMBER($E127)),$C127*$E127,"")</f>
        <v>6202</v>
      </c>
      <c r="G127" s="20"/>
      <c r="H127" s="199"/>
      <c r="I127" s="37"/>
      <c r="J127" s="37"/>
      <c r="K127" s="38"/>
    </row>
    <row r="128" spans="1:11" ht="49.5" customHeight="1" x14ac:dyDescent="0.25">
      <c r="A128" s="31" t="s">
        <v>125</v>
      </c>
      <c r="B128" s="32" t="s">
        <v>133</v>
      </c>
      <c r="C128" s="33">
        <v>41.88</v>
      </c>
      <c r="D128" s="34" t="s">
        <v>21</v>
      </c>
      <c r="E128" s="35">
        <v>75</v>
      </c>
      <c r="F128" s="36">
        <f>IF(AND(ISNUMBER($C128),ISNUMBER($E128)),$C128*$E128,"")</f>
        <v>3141</v>
      </c>
      <c r="G128" s="20"/>
      <c r="H128" s="199"/>
      <c r="I128" s="37"/>
      <c r="J128" s="37"/>
      <c r="K128" s="38"/>
    </row>
    <row r="129" spans="1:11" ht="18.75" customHeight="1" x14ac:dyDescent="0.25">
      <c r="A129" s="213" t="s">
        <v>28</v>
      </c>
      <c r="B129" s="213"/>
      <c r="C129" s="213"/>
      <c r="D129" s="213"/>
      <c r="E129" s="39"/>
      <c r="F129" s="40">
        <f>IF(SUM(F119:F128)=0,"-",SUM(F119:F128))</f>
        <v>108426.54</v>
      </c>
      <c r="G129" s="41"/>
      <c r="H129" s="204" t="str">
        <f>IF(SUM(H118:H128)=0,"-",SUM(H118:H128))</f>
        <v>-</v>
      </c>
      <c r="I129" s="40" t="str">
        <f>IF(SUM(I118:I128)=0,"-",SUM(I118:I128))</f>
        <v>-</v>
      </c>
      <c r="J129" s="40" t="str">
        <f>IF(SUM(J118:J128)=0,"-",SUM(J118:J128))</f>
        <v>-</v>
      </c>
      <c r="K129" s="42" t="str">
        <f>IF(SUM(K118:K128)=0,"-",SUM(K118:K128))</f>
        <v>-</v>
      </c>
    </row>
    <row r="130" spans="1:11" ht="6.75" customHeight="1" x14ac:dyDescent="0.25"/>
    <row r="131" spans="1:11" ht="18.75" customHeight="1" x14ac:dyDescent="0.25">
      <c r="A131" s="214" t="s">
        <v>1637</v>
      </c>
      <c r="B131" s="212"/>
      <c r="C131" s="212"/>
      <c r="D131" s="212"/>
      <c r="E131" s="212"/>
      <c r="F131" s="212"/>
      <c r="G131" s="6"/>
      <c r="H131" s="7" t="s">
        <v>12</v>
      </c>
      <c r="I131" s="8" t="s">
        <v>13</v>
      </c>
      <c r="J131" s="8" t="s">
        <v>14</v>
      </c>
      <c r="K131" s="9" t="s">
        <v>15</v>
      </c>
    </row>
    <row r="132" spans="1:11" ht="18.75" customHeight="1" thickBot="1" x14ac:dyDescent="0.3">
      <c r="A132" s="212"/>
      <c r="B132" s="212"/>
      <c r="C132" s="212"/>
      <c r="D132" s="212"/>
      <c r="E132" s="212"/>
      <c r="F132" s="212"/>
      <c r="G132" s="10"/>
      <c r="H132" s="11"/>
      <c r="I132" s="12"/>
      <c r="J132" s="12"/>
      <c r="K132" s="13"/>
    </row>
    <row r="133" spans="1:11" ht="63.75" customHeight="1" x14ac:dyDescent="0.25">
      <c r="A133" s="31" t="s">
        <v>134</v>
      </c>
      <c r="B133" s="32" t="s">
        <v>137</v>
      </c>
      <c r="C133" s="33" t="s">
        <v>34</v>
      </c>
      <c r="D133" s="34" t="s">
        <v>35</v>
      </c>
      <c r="E133" s="35" t="s">
        <v>34</v>
      </c>
      <c r="F133" s="36" t="str">
        <f t="shared" ref="F133:F141" si="0">IF(AND(ISNUMBER($C133),ISNUMBER($E133)),$C133*$E133,"")</f>
        <v/>
      </c>
      <c r="G133" s="20"/>
      <c r="H133" s="199"/>
      <c r="I133" s="37"/>
      <c r="J133" s="37"/>
      <c r="K133" s="38"/>
    </row>
    <row r="134" spans="1:11" ht="49.5" customHeight="1" x14ac:dyDescent="0.25">
      <c r="A134" s="23" t="s">
        <v>134</v>
      </c>
      <c r="B134" s="24" t="s">
        <v>143</v>
      </c>
      <c r="C134" s="25">
        <v>114.77</v>
      </c>
      <c r="D134" s="26" t="s">
        <v>21</v>
      </c>
      <c r="E134" s="27">
        <v>18</v>
      </c>
      <c r="F134" s="28">
        <f t="shared" si="0"/>
        <v>2065.86</v>
      </c>
      <c r="G134" s="20"/>
      <c r="H134" s="200"/>
      <c r="I134" s="29"/>
      <c r="J134" s="29"/>
      <c r="K134" s="30"/>
    </row>
    <row r="135" spans="1:11" ht="49.5" customHeight="1" x14ac:dyDescent="0.25">
      <c r="A135" s="31" t="s">
        <v>134</v>
      </c>
      <c r="B135" s="32" t="s">
        <v>144</v>
      </c>
      <c r="C135" s="33">
        <v>57.37</v>
      </c>
      <c r="D135" s="34" t="s">
        <v>21</v>
      </c>
      <c r="E135" s="35">
        <v>18</v>
      </c>
      <c r="F135" s="36">
        <f t="shared" si="0"/>
        <v>1032.6599999999999</v>
      </c>
      <c r="G135" s="20"/>
      <c r="H135" s="199"/>
      <c r="I135" s="37"/>
      <c r="J135" s="37"/>
      <c r="K135" s="38"/>
    </row>
    <row r="136" spans="1:11" ht="49.5" customHeight="1" x14ac:dyDescent="0.25">
      <c r="A136" s="31" t="s">
        <v>125</v>
      </c>
      <c r="B136" s="32" t="s">
        <v>145</v>
      </c>
      <c r="C136" s="33">
        <v>12</v>
      </c>
      <c r="D136" s="34" t="s">
        <v>26</v>
      </c>
      <c r="E136" s="35">
        <v>275</v>
      </c>
      <c r="F136" s="36">
        <f t="shared" si="0"/>
        <v>3300</v>
      </c>
      <c r="G136" s="20"/>
      <c r="H136" s="199"/>
      <c r="I136" s="37"/>
      <c r="J136" s="37"/>
      <c r="K136" s="38"/>
    </row>
    <row r="137" spans="1:11" ht="49.5" customHeight="1" x14ac:dyDescent="0.25">
      <c r="A137" s="31" t="s">
        <v>134</v>
      </c>
      <c r="B137" s="32" t="s">
        <v>146</v>
      </c>
      <c r="C137" s="33">
        <v>14</v>
      </c>
      <c r="D137" s="34" t="s">
        <v>26</v>
      </c>
      <c r="E137" s="35">
        <v>275</v>
      </c>
      <c r="F137" s="36">
        <f t="shared" si="0"/>
        <v>3850</v>
      </c>
      <c r="G137" s="20"/>
      <c r="H137" s="199"/>
      <c r="I137" s="37"/>
      <c r="J137" s="37"/>
      <c r="K137" s="38"/>
    </row>
    <row r="138" spans="1:11" ht="49.5" customHeight="1" x14ac:dyDescent="0.25">
      <c r="A138" s="31" t="s">
        <v>134</v>
      </c>
      <c r="B138" s="32" t="s">
        <v>147</v>
      </c>
      <c r="C138" s="33">
        <v>3</v>
      </c>
      <c r="D138" s="34" t="s">
        <v>26</v>
      </c>
      <c r="E138" s="35">
        <v>275</v>
      </c>
      <c r="F138" s="36">
        <f t="shared" si="0"/>
        <v>825</v>
      </c>
      <c r="G138" s="20"/>
      <c r="H138" s="199"/>
      <c r="I138" s="37"/>
      <c r="J138" s="37"/>
      <c r="K138" s="38"/>
    </row>
    <row r="139" spans="1:11" ht="49.5" customHeight="1" x14ac:dyDescent="0.25">
      <c r="A139" s="31" t="s">
        <v>134</v>
      </c>
      <c r="B139" s="32" t="s">
        <v>148</v>
      </c>
      <c r="C139" s="33">
        <v>11</v>
      </c>
      <c r="D139" s="34" t="s">
        <v>26</v>
      </c>
      <c r="E139" s="35">
        <v>275</v>
      </c>
      <c r="F139" s="36">
        <f t="shared" si="0"/>
        <v>3025</v>
      </c>
      <c r="G139" s="20"/>
      <c r="H139" s="199"/>
      <c r="I139" s="37"/>
      <c r="J139" s="37"/>
      <c r="K139" s="38"/>
    </row>
    <row r="140" spans="1:11" ht="49.5" customHeight="1" x14ac:dyDescent="0.25">
      <c r="A140" s="31" t="s">
        <v>134</v>
      </c>
      <c r="B140" s="32" t="s">
        <v>149</v>
      </c>
      <c r="C140" s="33">
        <v>32</v>
      </c>
      <c r="D140" s="34" t="s">
        <v>26</v>
      </c>
      <c r="E140" s="35">
        <v>300</v>
      </c>
      <c r="F140" s="36">
        <f t="shared" si="0"/>
        <v>9600</v>
      </c>
      <c r="G140" s="20"/>
      <c r="H140" s="199"/>
      <c r="I140" s="37"/>
      <c r="J140" s="37"/>
      <c r="K140" s="38"/>
    </row>
    <row r="141" spans="1:11" ht="49.5" customHeight="1" thickBot="1" x14ac:dyDescent="0.3">
      <c r="A141" s="31" t="s">
        <v>134</v>
      </c>
      <c r="B141" s="32" t="s">
        <v>150</v>
      </c>
      <c r="C141" s="33">
        <v>3.51</v>
      </c>
      <c r="D141" s="34" t="s">
        <v>21</v>
      </c>
      <c r="E141" s="35">
        <v>300</v>
      </c>
      <c r="F141" s="36">
        <f t="shared" si="0"/>
        <v>1053</v>
      </c>
      <c r="G141" s="20"/>
      <c r="H141" s="199"/>
      <c r="I141" s="37"/>
      <c r="J141" s="37"/>
      <c r="K141" s="38"/>
    </row>
    <row r="142" spans="1:11" ht="18.75" customHeight="1" thickBot="1" x14ac:dyDescent="0.3">
      <c r="A142" s="213" t="s">
        <v>28</v>
      </c>
      <c r="B142" s="213"/>
      <c r="C142" s="213"/>
      <c r="D142" s="213"/>
      <c r="E142" s="279" t="s">
        <v>1638</v>
      </c>
      <c r="F142" s="280">
        <v>33000</v>
      </c>
      <c r="G142" s="41"/>
      <c r="H142" s="204" t="str">
        <f>IF(SUM(H132:H141)=0,"-",SUM(H132:H141))</f>
        <v>-</v>
      </c>
      <c r="I142" s="40" t="str">
        <f>IF(SUM(I132:I141)=0,"-",SUM(I132:I141))</f>
        <v>-</v>
      </c>
      <c r="J142" s="40" t="str">
        <f>IF(SUM(J132:J141)=0,"-",SUM(J132:J141))</f>
        <v>-</v>
      </c>
      <c r="K142" s="42" t="str">
        <f>IF(SUM(K132:K141)=0,"-",SUM(K132:K141))</f>
        <v>-</v>
      </c>
    </row>
    <row r="143" spans="1:11" ht="6.75" customHeight="1" thickBot="1" x14ac:dyDescent="0.3"/>
    <row r="144" spans="1:11" ht="18.75" customHeight="1" thickBot="1" x14ac:dyDescent="0.3">
      <c r="A144" s="214" t="s">
        <v>1636</v>
      </c>
      <c r="B144" s="212"/>
      <c r="C144" s="212"/>
      <c r="D144" s="212"/>
      <c r="E144" s="212"/>
      <c r="F144" s="212"/>
      <c r="G144" s="6"/>
      <c r="H144" s="7" t="s">
        <v>12</v>
      </c>
      <c r="I144" s="8" t="s">
        <v>13</v>
      </c>
      <c r="J144" s="8" t="s">
        <v>14</v>
      </c>
      <c r="K144" s="9" t="s">
        <v>15</v>
      </c>
    </row>
    <row r="145" spans="1:11" ht="18.75" customHeight="1" thickBot="1" x14ac:dyDescent="0.3">
      <c r="A145" s="212"/>
      <c r="B145" s="212"/>
      <c r="C145" s="212"/>
      <c r="D145" s="212"/>
      <c r="E145" s="212"/>
      <c r="F145" s="212"/>
      <c r="G145" s="10"/>
      <c r="H145" s="11"/>
      <c r="I145" s="12"/>
      <c r="J145" s="12"/>
      <c r="K145" s="13"/>
    </row>
    <row r="146" spans="1:11" ht="63.75" customHeight="1" x14ac:dyDescent="0.25">
      <c r="A146" s="31" t="s">
        <v>134</v>
      </c>
      <c r="B146" s="32" t="s">
        <v>135</v>
      </c>
      <c r="C146" s="33">
        <v>4</v>
      </c>
      <c r="D146" s="34" t="s">
        <v>26</v>
      </c>
      <c r="E146" s="35">
        <v>175</v>
      </c>
      <c r="F146" s="36">
        <f t="shared" ref="F146:F153" si="1">IF(AND(ISNUMBER($C146),ISNUMBER($E146)),$C146*$E146,"")</f>
        <v>700</v>
      </c>
      <c r="G146" s="20"/>
      <c r="H146" s="199"/>
      <c r="I146" s="37"/>
      <c r="J146" s="37"/>
      <c r="K146" s="38"/>
    </row>
    <row r="147" spans="1:11" ht="49.5" customHeight="1" x14ac:dyDescent="0.25">
      <c r="A147" s="23" t="s">
        <v>134</v>
      </c>
      <c r="B147" s="24" t="s">
        <v>136</v>
      </c>
      <c r="C147" s="25">
        <v>1</v>
      </c>
      <c r="D147" s="26" t="s">
        <v>26</v>
      </c>
      <c r="E147" s="27">
        <v>400</v>
      </c>
      <c r="F147" s="28">
        <f t="shared" si="1"/>
        <v>400</v>
      </c>
      <c r="G147" s="20"/>
      <c r="H147" s="200"/>
      <c r="I147" s="29"/>
      <c r="J147" s="29"/>
      <c r="K147" s="30"/>
    </row>
    <row r="148" spans="1:11" ht="49.5" customHeight="1" x14ac:dyDescent="0.25">
      <c r="A148" s="31" t="s">
        <v>134</v>
      </c>
      <c r="B148" s="32" t="s">
        <v>138</v>
      </c>
      <c r="C148" s="33">
        <v>3</v>
      </c>
      <c r="D148" s="34" t="s">
        <v>26</v>
      </c>
      <c r="E148" s="35">
        <v>1500</v>
      </c>
      <c r="F148" s="36">
        <f t="shared" si="1"/>
        <v>4500</v>
      </c>
      <c r="G148" s="20"/>
      <c r="H148" s="199"/>
      <c r="I148" s="37"/>
      <c r="J148" s="37"/>
      <c r="K148" s="38"/>
    </row>
    <row r="149" spans="1:11" ht="49.5" customHeight="1" x14ac:dyDescent="0.25">
      <c r="A149" s="31" t="s">
        <v>134</v>
      </c>
      <c r="B149" s="32" t="s">
        <v>139</v>
      </c>
      <c r="C149" s="33">
        <v>1</v>
      </c>
      <c r="D149" s="34" t="s">
        <v>26</v>
      </c>
      <c r="E149" s="35">
        <v>600</v>
      </c>
      <c r="F149" s="36">
        <f t="shared" si="1"/>
        <v>600</v>
      </c>
      <c r="G149" s="20"/>
      <c r="H149" s="199"/>
      <c r="I149" s="37"/>
      <c r="J149" s="37"/>
      <c r="K149" s="38"/>
    </row>
    <row r="150" spans="1:11" ht="49.5" customHeight="1" x14ac:dyDescent="0.25">
      <c r="A150" s="31" t="s">
        <v>134</v>
      </c>
      <c r="B150" s="32" t="s">
        <v>140</v>
      </c>
      <c r="C150" s="33">
        <v>5</v>
      </c>
      <c r="D150" s="34" t="s">
        <v>26</v>
      </c>
      <c r="E150" s="35">
        <v>500</v>
      </c>
      <c r="F150" s="36">
        <f t="shared" si="1"/>
        <v>2500</v>
      </c>
      <c r="G150" s="20"/>
      <c r="H150" s="199"/>
      <c r="I150" s="37"/>
      <c r="J150" s="37"/>
      <c r="K150" s="38"/>
    </row>
    <row r="151" spans="1:11" ht="49.5" customHeight="1" x14ac:dyDescent="0.25">
      <c r="A151" s="31" t="s">
        <v>134</v>
      </c>
      <c r="B151" s="32" t="s">
        <v>141</v>
      </c>
      <c r="C151" s="33">
        <v>40.119999999999997</v>
      </c>
      <c r="D151" s="34" t="s">
        <v>21</v>
      </c>
      <c r="E151" s="35">
        <v>350</v>
      </c>
      <c r="F151" s="36">
        <f t="shared" si="1"/>
        <v>14042</v>
      </c>
      <c r="G151" s="20"/>
      <c r="H151" s="199"/>
      <c r="I151" s="37"/>
      <c r="J151" s="37"/>
      <c r="K151" s="38"/>
    </row>
    <row r="152" spans="1:11" ht="49.5" customHeight="1" x14ac:dyDescent="0.25">
      <c r="A152" s="31" t="s">
        <v>134</v>
      </c>
      <c r="B152" s="32" t="s">
        <v>142</v>
      </c>
      <c r="C152" s="33">
        <v>15.92</v>
      </c>
      <c r="D152" s="34" t="s">
        <v>21</v>
      </c>
      <c r="E152" s="35">
        <v>750</v>
      </c>
      <c r="F152" s="36">
        <f t="shared" si="1"/>
        <v>11940</v>
      </c>
      <c r="G152" s="20"/>
      <c r="H152" s="199"/>
      <c r="I152" s="37"/>
      <c r="J152" s="37"/>
      <c r="K152" s="38"/>
    </row>
    <row r="153" spans="1:11" ht="49.5" customHeight="1" thickBot="1" x14ac:dyDescent="0.3">
      <c r="A153" s="31"/>
      <c r="B153" s="32"/>
      <c r="C153" s="33"/>
      <c r="D153" s="34"/>
      <c r="E153" s="35"/>
      <c r="F153" s="36" t="str">
        <f t="shared" si="1"/>
        <v/>
      </c>
      <c r="G153" s="20"/>
      <c r="H153" s="199"/>
      <c r="I153" s="37"/>
      <c r="J153" s="37"/>
      <c r="K153" s="38"/>
    </row>
    <row r="154" spans="1:11" ht="18.75" customHeight="1" thickBot="1" x14ac:dyDescent="0.3">
      <c r="A154" s="213" t="s">
        <v>28</v>
      </c>
      <c r="B154" s="213"/>
      <c r="C154" s="213"/>
      <c r="D154" s="213"/>
      <c r="E154" s="39"/>
      <c r="F154" s="40">
        <f>IF(SUM(F146:F153)=0,"-",SUM(F146:F153))</f>
        <v>34682</v>
      </c>
      <c r="G154" s="41"/>
      <c r="H154" s="204" t="str">
        <f>IF(SUM(H145:H153)=0,"-",SUM(H145:H153))</f>
        <v>-</v>
      </c>
      <c r="I154" s="40" t="str">
        <f>IF(SUM(I145:I153)=0,"-",SUM(I145:I153))</f>
        <v>-</v>
      </c>
      <c r="J154" s="40" t="str">
        <f>IF(SUM(J145:J153)=0,"-",SUM(J145:J153))</f>
        <v>-</v>
      </c>
      <c r="K154" s="42" t="str">
        <f>IF(SUM(K145:K153)=0,"-",SUM(K145:K153))</f>
        <v>-</v>
      </c>
    </row>
    <row r="155" spans="1:11" ht="6.75" customHeight="1" thickBot="1" x14ac:dyDescent="0.3"/>
    <row r="156" spans="1:11" ht="18.75" customHeight="1" thickBot="1" x14ac:dyDescent="0.3">
      <c r="A156" s="212" t="s">
        <v>151</v>
      </c>
      <c r="B156" s="212"/>
      <c r="C156" s="212"/>
      <c r="D156" s="212"/>
      <c r="E156" s="212"/>
      <c r="F156" s="212"/>
      <c r="G156" s="6"/>
      <c r="H156" s="7" t="s">
        <v>12</v>
      </c>
      <c r="I156" s="8" t="s">
        <v>13</v>
      </c>
      <c r="J156" s="8" t="s">
        <v>14</v>
      </c>
      <c r="K156" s="9" t="s">
        <v>15</v>
      </c>
    </row>
    <row r="157" spans="1:11" ht="18.75" customHeight="1" x14ac:dyDescent="0.25">
      <c r="A157" s="212"/>
      <c r="B157" s="212"/>
      <c r="C157" s="212"/>
      <c r="D157" s="212"/>
      <c r="E157" s="212"/>
      <c r="F157" s="212"/>
      <c r="G157" s="10"/>
      <c r="H157" s="11"/>
      <c r="I157" s="12"/>
      <c r="J157" s="12"/>
      <c r="K157" s="13"/>
    </row>
    <row r="158" spans="1:11" ht="63.75" customHeight="1" x14ac:dyDescent="0.25">
      <c r="A158" s="43" t="s">
        <v>152</v>
      </c>
      <c r="B158" s="44" t="s">
        <v>153</v>
      </c>
      <c r="C158" s="45">
        <v>1936.56</v>
      </c>
      <c r="D158" s="46" t="s">
        <v>23</v>
      </c>
      <c r="E158" s="47">
        <v>2.5</v>
      </c>
      <c r="F158" s="48">
        <f>IF(AND(ISNUMBER($C158),ISNUMBER($E158)),$C158*$E158,"")</f>
        <v>4841.3999999999996</v>
      </c>
      <c r="G158" s="20"/>
      <c r="H158" s="203"/>
      <c r="I158" s="49"/>
      <c r="J158" s="49"/>
      <c r="K158" s="50"/>
    </row>
    <row r="159" spans="1:11" ht="63.75" customHeight="1" x14ac:dyDescent="0.25">
      <c r="A159" s="23" t="s">
        <v>152</v>
      </c>
      <c r="B159" s="24" t="s">
        <v>154</v>
      </c>
      <c r="C159" s="25" t="s">
        <v>34</v>
      </c>
      <c r="D159" s="26" t="s">
        <v>1627</v>
      </c>
      <c r="E159" s="27" t="s">
        <v>34</v>
      </c>
      <c r="F159" s="28" t="str">
        <f>IF(AND(ISNUMBER($C159),ISNUMBER($E159)),$C159*$E159,"")</f>
        <v/>
      </c>
      <c r="G159" s="20"/>
      <c r="H159" s="200"/>
      <c r="I159" s="29"/>
      <c r="J159" s="29"/>
      <c r="K159" s="30"/>
    </row>
    <row r="160" spans="1:11" ht="105.75" customHeight="1" x14ac:dyDescent="0.25">
      <c r="A160" s="43" t="s">
        <v>155</v>
      </c>
      <c r="B160" s="44" t="s">
        <v>156</v>
      </c>
      <c r="C160" s="45">
        <v>152.30000000000001</v>
      </c>
      <c r="D160" s="46" t="s">
        <v>21</v>
      </c>
      <c r="E160" s="47">
        <v>20</v>
      </c>
      <c r="F160" s="48">
        <f>IF(AND(ISNUMBER($C160),ISNUMBER($E160)),$C160*$E160,"")</f>
        <v>3046</v>
      </c>
      <c r="G160" s="20"/>
      <c r="H160" s="203"/>
      <c r="I160" s="49"/>
      <c r="J160" s="49"/>
      <c r="K160" s="50"/>
    </row>
    <row r="161" spans="1:11" ht="18.75" customHeight="1" x14ac:dyDescent="0.25">
      <c r="A161" s="213" t="s">
        <v>28</v>
      </c>
      <c r="B161" s="213"/>
      <c r="C161" s="213"/>
      <c r="D161" s="213"/>
      <c r="E161" s="39"/>
      <c r="F161" s="40">
        <f>IF(SUM(F158:F160)=0,"-",SUM(F158:F160))</f>
        <v>7887.4</v>
      </c>
      <c r="G161" s="41"/>
      <c r="H161" s="204" t="str">
        <f>IF(SUM(H157:H160)=0,"-",SUM(H157:H160))</f>
        <v>-</v>
      </c>
      <c r="I161" s="40" t="str">
        <f>IF(SUM(I157:I160)=0,"-",SUM(I157:I160))</f>
        <v>-</v>
      </c>
      <c r="J161" s="40" t="str">
        <f>IF(SUM(J157:J160)=0,"-",SUM(J157:J160))</f>
        <v>-</v>
      </c>
      <c r="K161" s="42" t="str">
        <f>IF(SUM(K157:K160)=0,"-",SUM(K157:K160))</f>
        <v>-</v>
      </c>
    </row>
    <row r="162" spans="1:11" ht="6.75" customHeight="1" thickBot="1" x14ac:dyDescent="0.3"/>
    <row r="163" spans="1:11" ht="18.75" customHeight="1" thickBot="1" x14ac:dyDescent="0.3">
      <c r="A163" s="268" t="s">
        <v>157</v>
      </c>
      <c r="B163" s="269"/>
      <c r="C163" s="269"/>
      <c r="D163" s="269"/>
      <c r="E163" s="269"/>
      <c r="F163" s="270"/>
      <c r="G163" s="177"/>
      <c r="H163" s="7" t="s">
        <v>12</v>
      </c>
      <c r="I163" s="8" t="s">
        <v>13</v>
      </c>
      <c r="J163" s="8" t="s">
        <v>14</v>
      </c>
      <c r="K163" s="9" t="s">
        <v>15</v>
      </c>
    </row>
    <row r="164" spans="1:11" ht="18.75" customHeight="1" thickBot="1" x14ac:dyDescent="0.3">
      <c r="A164" s="282" t="s">
        <v>134</v>
      </c>
      <c r="B164" s="272"/>
      <c r="C164" s="272"/>
      <c r="D164" s="272"/>
      <c r="E164" s="272"/>
      <c r="F164" s="273"/>
      <c r="G164" s="178"/>
      <c r="H164" s="11"/>
      <c r="I164" s="12"/>
      <c r="J164" s="12"/>
      <c r="K164" s="13"/>
    </row>
    <row r="165" spans="1:11" ht="63.75" customHeight="1" x14ac:dyDescent="0.25">
      <c r="A165" s="179" t="s">
        <v>158</v>
      </c>
      <c r="B165" s="180" t="s">
        <v>159</v>
      </c>
      <c r="C165" s="181">
        <v>1</v>
      </c>
      <c r="D165" s="182" t="s">
        <v>19</v>
      </c>
      <c r="E165" s="183">
        <v>5000</v>
      </c>
      <c r="F165" s="184">
        <f t="shared" ref="F165:F173" si="2">IF(AND(ISNUMBER($C165),ISNUMBER($E165)),$C165*$E165,"")</f>
        <v>5000</v>
      </c>
      <c r="G165" s="20"/>
      <c r="H165" s="199"/>
      <c r="I165" s="37"/>
      <c r="J165" s="37"/>
      <c r="K165" s="38"/>
    </row>
    <row r="166" spans="1:11" ht="49.5" customHeight="1" x14ac:dyDescent="0.25">
      <c r="A166" s="23" t="s">
        <v>158</v>
      </c>
      <c r="B166" s="24" t="s">
        <v>160</v>
      </c>
      <c r="C166" s="25" t="s">
        <v>34</v>
      </c>
      <c r="D166" s="26" t="s">
        <v>35</v>
      </c>
      <c r="E166" s="27" t="s">
        <v>34</v>
      </c>
      <c r="F166" s="28" t="str">
        <f t="shared" si="2"/>
        <v/>
      </c>
      <c r="G166" s="20"/>
      <c r="H166" s="200"/>
      <c r="I166" s="29"/>
      <c r="J166" s="29"/>
      <c r="K166" s="30"/>
    </row>
    <row r="167" spans="1:11" ht="78" customHeight="1" x14ac:dyDescent="0.25">
      <c r="A167" s="31" t="s">
        <v>158</v>
      </c>
      <c r="B167" s="32" t="s">
        <v>161</v>
      </c>
      <c r="C167" s="33" t="s">
        <v>34</v>
      </c>
      <c r="D167" s="34" t="s">
        <v>35</v>
      </c>
      <c r="E167" s="35" t="s">
        <v>34</v>
      </c>
      <c r="F167" s="36" t="str">
        <f t="shared" si="2"/>
        <v/>
      </c>
      <c r="G167" s="20"/>
      <c r="H167" s="199"/>
      <c r="I167" s="37"/>
      <c r="J167" s="37"/>
      <c r="K167" s="38"/>
    </row>
    <row r="168" spans="1:11" ht="49.5" customHeight="1" x14ac:dyDescent="0.25">
      <c r="A168" s="23" t="s">
        <v>158</v>
      </c>
      <c r="B168" s="24" t="s">
        <v>162</v>
      </c>
      <c r="C168" s="25">
        <v>964.8</v>
      </c>
      <c r="D168" s="26" t="s">
        <v>23</v>
      </c>
      <c r="E168" s="27">
        <v>4</v>
      </c>
      <c r="F168" s="28">
        <f t="shared" si="2"/>
        <v>3859.2</v>
      </c>
      <c r="G168" s="20"/>
      <c r="H168" s="200"/>
      <c r="I168" s="29"/>
      <c r="J168" s="29"/>
      <c r="K168" s="30"/>
    </row>
    <row r="169" spans="1:11" ht="78" customHeight="1" x14ac:dyDescent="0.25">
      <c r="A169" s="31" t="s">
        <v>158</v>
      </c>
      <c r="B169" s="32" t="s">
        <v>163</v>
      </c>
      <c r="C169" s="33">
        <v>205</v>
      </c>
      <c r="D169" s="34" t="s">
        <v>23</v>
      </c>
      <c r="E169" s="35">
        <v>15</v>
      </c>
      <c r="F169" s="36">
        <f t="shared" si="2"/>
        <v>3075</v>
      </c>
      <c r="G169" s="20"/>
      <c r="H169" s="199"/>
      <c r="I169" s="37"/>
      <c r="J169" s="37"/>
      <c r="K169" s="38"/>
    </row>
    <row r="170" spans="1:11" ht="78" customHeight="1" x14ac:dyDescent="0.25">
      <c r="A170" s="31" t="s">
        <v>158</v>
      </c>
      <c r="B170" s="32" t="s">
        <v>164</v>
      </c>
      <c r="C170" s="33">
        <v>4410</v>
      </c>
      <c r="D170" s="34" t="s">
        <v>23</v>
      </c>
      <c r="E170" s="35">
        <v>3.5</v>
      </c>
      <c r="F170" s="36">
        <f t="shared" si="2"/>
        <v>15435</v>
      </c>
      <c r="G170" s="20"/>
      <c r="H170" s="199"/>
      <c r="I170" s="37"/>
      <c r="J170" s="37"/>
      <c r="K170" s="38"/>
    </row>
    <row r="171" spans="1:11" ht="78" customHeight="1" x14ac:dyDescent="0.25">
      <c r="A171" s="31" t="s">
        <v>158</v>
      </c>
      <c r="B171" s="32" t="s">
        <v>165</v>
      </c>
      <c r="C171" s="33">
        <v>1419.24</v>
      </c>
      <c r="D171" s="34" t="s">
        <v>23</v>
      </c>
      <c r="E171" s="35">
        <v>1.94</v>
      </c>
      <c r="F171" s="36">
        <f t="shared" si="2"/>
        <v>2753.3256000000001</v>
      </c>
      <c r="G171" s="20"/>
      <c r="H171" s="199"/>
      <c r="I171" s="37"/>
      <c r="J171" s="37"/>
      <c r="K171" s="38"/>
    </row>
    <row r="172" spans="1:11" ht="78" customHeight="1" x14ac:dyDescent="0.25">
      <c r="A172" s="171" t="s">
        <v>158</v>
      </c>
      <c r="B172" s="172" t="s">
        <v>166</v>
      </c>
      <c r="C172" s="173">
        <v>1419.39</v>
      </c>
      <c r="D172" s="174" t="s">
        <v>23</v>
      </c>
      <c r="E172" s="175">
        <v>3.25</v>
      </c>
      <c r="F172" s="176">
        <f t="shared" si="2"/>
        <v>4613.0174999999999</v>
      </c>
      <c r="G172" s="165"/>
      <c r="H172" s="247"/>
      <c r="I172" s="166"/>
      <c r="J172" s="166"/>
      <c r="K172" s="167"/>
    </row>
    <row r="173" spans="1:11" ht="78" customHeight="1" x14ac:dyDescent="0.25">
      <c r="A173" s="31" t="s">
        <v>158</v>
      </c>
      <c r="B173" s="32" t="s">
        <v>167</v>
      </c>
      <c r="C173" s="33">
        <v>1198.96</v>
      </c>
      <c r="D173" s="34" t="s">
        <v>23</v>
      </c>
      <c r="E173" s="35">
        <v>15</v>
      </c>
      <c r="F173" s="36">
        <f t="shared" si="2"/>
        <v>17984.400000000001</v>
      </c>
      <c r="G173" s="20"/>
      <c r="H173" s="199"/>
      <c r="I173" s="37"/>
      <c r="J173" s="37"/>
      <c r="K173" s="38"/>
    </row>
    <row r="174" spans="1:11" ht="18.75" customHeight="1" x14ac:dyDescent="0.25">
      <c r="A174" s="213" t="s">
        <v>28</v>
      </c>
      <c r="B174" s="213"/>
      <c r="C174" s="213"/>
      <c r="D174" s="213"/>
      <c r="E174" s="39"/>
      <c r="F174" s="40">
        <f>IF(SUM(F165:F173)=0,"-",SUM(F165:F173))</f>
        <v>52719.943100000004</v>
      </c>
      <c r="G174" s="41"/>
      <c r="H174" s="204" t="str">
        <f>IF(SUM(H164:H173)=0,"-",SUM(H164:H173))</f>
        <v>-</v>
      </c>
      <c r="I174" s="40" t="str">
        <f>IF(SUM(I164:I173)=0,"-",SUM(I164:I173))</f>
        <v>-</v>
      </c>
      <c r="J174" s="40" t="str">
        <f>IF(SUM(J164:J173)=0,"-",SUM(J164:J173))</f>
        <v>-</v>
      </c>
      <c r="K174" s="42" t="str">
        <f>IF(SUM(K164:K173)=0,"-",SUM(K164:K173))</f>
        <v>-</v>
      </c>
    </row>
    <row r="175" spans="1:11" ht="6.75" customHeight="1" x14ac:dyDescent="0.25"/>
    <row r="176" spans="1:11" ht="18.75" customHeight="1" x14ac:dyDescent="0.25">
      <c r="A176" s="212" t="s">
        <v>168</v>
      </c>
      <c r="B176" s="212"/>
      <c r="C176" s="212"/>
      <c r="D176" s="212"/>
      <c r="E176" s="212"/>
      <c r="F176" s="212"/>
      <c r="G176" s="6"/>
      <c r="H176" s="7" t="s">
        <v>12</v>
      </c>
      <c r="I176" s="8" t="s">
        <v>13</v>
      </c>
      <c r="J176" s="8" t="s">
        <v>14</v>
      </c>
      <c r="K176" s="9" t="s">
        <v>15</v>
      </c>
    </row>
    <row r="177" spans="1:11" ht="18.75" customHeight="1" x14ac:dyDescent="0.25">
      <c r="A177" s="212"/>
      <c r="B177" s="212"/>
      <c r="C177" s="212"/>
      <c r="D177" s="212"/>
      <c r="E177" s="212"/>
      <c r="F177" s="212"/>
      <c r="G177" s="10"/>
      <c r="H177" s="11"/>
      <c r="I177" s="12"/>
      <c r="J177" s="12"/>
      <c r="K177" s="13"/>
    </row>
    <row r="178" spans="1:11" ht="91.5" customHeight="1" x14ac:dyDescent="0.25">
      <c r="A178" s="31" t="s">
        <v>169</v>
      </c>
      <c r="B178" s="32" t="s">
        <v>170</v>
      </c>
      <c r="C178" s="33">
        <v>1597.91</v>
      </c>
      <c r="D178" s="34" t="s">
        <v>23</v>
      </c>
      <c r="E178" s="35">
        <v>23</v>
      </c>
      <c r="F178" s="36">
        <f>IF(AND(ISNUMBER($C178),ISNUMBER($E178)),$C178*$E178,"")</f>
        <v>36751.93</v>
      </c>
      <c r="G178" s="20"/>
      <c r="H178" s="199"/>
      <c r="I178" s="37"/>
      <c r="J178" s="37"/>
      <c r="K178" s="38"/>
    </row>
    <row r="179" spans="1:11" ht="91.5" customHeight="1" x14ac:dyDescent="0.25">
      <c r="A179" s="14" t="s">
        <v>171</v>
      </c>
      <c r="B179" s="15" t="s">
        <v>172</v>
      </c>
      <c r="C179" s="16">
        <v>4175.2700000000004</v>
      </c>
      <c r="D179" s="17" t="s">
        <v>23</v>
      </c>
      <c r="E179" s="18">
        <v>20</v>
      </c>
      <c r="F179" s="19">
        <f>IF(AND(ISNUMBER($C179),ISNUMBER($E179)),$C179*$E179,"")</f>
        <v>83505.400000000009</v>
      </c>
      <c r="G179" s="20"/>
      <c r="H179" s="245"/>
      <c r="I179" s="21"/>
      <c r="J179" s="21"/>
      <c r="K179" s="22"/>
    </row>
    <row r="180" spans="1:11" ht="49.5" customHeight="1" thickBot="1" x14ac:dyDescent="0.3">
      <c r="A180" s="198"/>
      <c r="B180" s="32" t="s">
        <v>173</v>
      </c>
      <c r="C180" s="33" t="s">
        <v>34</v>
      </c>
      <c r="D180" s="34" t="s">
        <v>35</v>
      </c>
      <c r="E180" s="35" t="s">
        <v>34</v>
      </c>
      <c r="F180" s="36" t="str">
        <f>IF(AND(ISNUMBER($C180),ISNUMBER($E180)),$C180*$E180,"")</f>
        <v/>
      </c>
      <c r="G180" s="20"/>
      <c r="H180" s="199"/>
      <c r="I180" s="37"/>
      <c r="J180" s="37"/>
      <c r="K180" s="38"/>
    </row>
    <row r="181" spans="1:11" ht="49.5" customHeight="1" x14ac:dyDescent="0.25">
      <c r="A181" s="23" t="s">
        <v>171</v>
      </c>
      <c r="B181" s="24" t="s">
        <v>174</v>
      </c>
      <c r="C181" s="25" t="s">
        <v>34</v>
      </c>
      <c r="D181" s="26" t="s">
        <v>35</v>
      </c>
      <c r="E181" s="27" t="s">
        <v>34</v>
      </c>
      <c r="F181" s="28" t="str">
        <f>IF(AND(ISNUMBER($C181),ISNUMBER($E181)),$C181*$E181,"")</f>
        <v/>
      </c>
      <c r="G181" s="20"/>
      <c r="H181" s="200"/>
      <c r="I181" s="29"/>
      <c r="J181" s="29"/>
      <c r="K181" s="30"/>
    </row>
    <row r="182" spans="1:11" ht="49.5" customHeight="1" thickBot="1" x14ac:dyDescent="0.3">
      <c r="A182" s="23" t="s">
        <v>171</v>
      </c>
      <c r="B182" s="24" t="s">
        <v>457</v>
      </c>
      <c r="C182" s="25">
        <v>1597.91</v>
      </c>
      <c r="D182" s="26" t="s">
        <v>23</v>
      </c>
      <c r="E182" s="27">
        <v>18</v>
      </c>
      <c r="F182" s="28">
        <f>IF(AND(ISNUMBER($C182),ISNUMBER($E182)),$C182*$E182,"")</f>
        <v>28762.38</v>
      </c>
      <c r="G182" s="20"/>
      <c r="H182" s="200"/>
      <c r="I182" s="29"/>
      <c r="J182" s="29"/>
      <c r="K182" s="30"/>
    </row>
    <row r="183" spans="1:11" ht="18.75" customHeight="1" thickBot="1" x14ac:dyDescent="0.3">
      <c r="A183" s="213" t="s">
        <v>28</v>
      </c>
      <c r="B183" s="213"/>
      <c r="C183" s="213"/>
      <c r="D183" s="213"/>
      <c r="E183" s="39"/>
      <c r="F183" s="40">
        <f>IF(SUM(F178:F182)=0,"-",SUM(F178:F182))</f>
        <v>149019.71000000002</v>
      </c>
      <c r="G183" s="41"/>
      <c r="H183" s="204" t="str">
        <f>IF(SUM(H177:H182)=0,"-",SUM(H177:H182))</f>
        <v>-</v>
      </c>
      <c r="I183" s="40" t="str">
        <f>IF(SUM(I177:I182)=0,"-",SUM(I177:I182))</f>
        <v>-</v>
      </c>
      <c r="J183" s="40" t="str">
        <f>IF(SUM(J177:J182)=0,"-",SUM(J177:J182))</f>
        <v>-</v>
      </c>
      <c r="K183" s="42" t="str">
        <f>IF(SUM(K177:K182)=0,"-",SUM(K177:K182))</f>
        <v>-</v>
      </c>
    </row>
    <row r="184" spans="1:11" ht="6.75" customHeight="1" x14ac:dyDescent="0.25"/>
    <row r="185" spans="1:11" ht="18.75" customHeight="1" x14ac:dyDescent="0.25">
      <c r="A185" s="212" t="s">
        <v>175</v>
      </c>
      <c r="B185" s="212"/>
      <c r="C185" s="212"/>
      <c r="D185" s="212"/>
      <c r="E185" s="212"/>
      <c r="F185" s="212"/>
      <c r="G185" s="6"/>
      <c r="H185" s="7" t="s">
        <v>12</v>
      </c>
      <c r="I185" s="8" t="s">
        <v>13</v>
      </c>
      <c r="J185" s="8" t="s">
        <v>14</v>
      </c>
      <c r="K185" s="9" t="s">
        <v>15</v>
      </c>
    </row>
    <row r="186" spans="1:11" ht="18.75" customHeight="1" x14ac:dyDescent="0.25">
      <c r="A186" s="212"/>
      <c r="B186" s="212"/>
      <c r="C186" s="212"/>
      <c r="D186" s="212"/>
      <c r="E186" s="212"/>
      <c r="F186" s="212"/>
      <c r="G186" s="10"/>
      <c r="H186" s="11"/>
      <c r="I186" s="12"/>
      <c r="J186" s="12"/>
      <c r="K186" s="13"/>
    </row>
    <row r="187" spans="1:11" ht="49.5" customHeight="1" x14ac:dyDescent="0.25">
      <c r="A187" s="31" t="s">
        <v>176</v>
      </c>
      <c r="B187" s="32" t="s">
        <v>177</v>
      </c>
      <c r="C187" s="33" t="s">
        <v>34</v>
      </c>
      <c r="D187" s="34" t="s">
        <v>35</v>
      </c>
      <c r="E187" s="35" t="s">
        <v>34</v>
      </c>
      <c r="F187" s="36" t="str">
        <f t="shared" ref="F187:F197" si="3">IF(AND(ISNUMBER($C187),ISNUMBER($E187)),$C187*$E187,"")</f>
        <v/>
      </c>
      <c r="G187" s="20"/>
      <c r="H187" s="199"/>
      <c r="I187" s="37"/>
      <c r="J187" s="37"/>
      <c r="K187" s="38"/>
    </row>
    <row r="188" spans="1:11" ht="49.5" customHeight="1" x14ac:dyDescent="0.25">
      <c r="A188" s="14"/>
      <c r="B188" s="15" t="s">
        <v>178</v>
      </c>
      <c r="C188" s="16">
        <v>512.02</v>
      </c>
      <c r="D188" s="17" t="s">
        <v>23</v>
      </c>
      <c r="E188" s="18">
        <v>6</v>
      </c>
      <c r="F188" s="19">
        <f t="shared" si="3"/>
        <v>3072.12</v>
      </c>
      <c r="G188" s="20"/>
      <c r="H188" s="245"/>
      <c r="I188" s="21"/>
      <c r="J188" s="21"/>
      <c r="K188" s="22"/>
    </row>
    <row r="189" spans="1:11" ht="63.75" customHeight="1" x14ac:dyDescent="0.25">
      <c r="A189" s="14" t="s">
        <v>179</v>
      </c>
      <c r="B189" s="15" t="s">
        <v>180</v>
      </c>
      <c r="C189" s="16">
        <v>4304.92</v>
      </c>
      <c r="D189" s="17" t="s">
        <v>23</v>
      </c>
      <c r="E189" s="18">
        <v>27.000000119999999</v>
      </c>
      <c r="F189" s="19">
        <f t="shared" si="3"/>
        <v>116232.8405165904</v>
      </c>
      <c r="G189" s="20"/>
      <c r="H189" s="245"/>
      <c r="I189" s="21"/>
      <c r="J189" s="21"/>
      <c r="K189" s="22"/>
    </row>
    <row r="190" spans="1:11" ht="49.5" customHeight="1" x14ac:dyDescent="0.25">
      <c r="A190" s="14" t="s">
        <v>179</v>
      </c>
      <c r="B190" s="15" t="s">
        <v>181</v>
      </c>
      <c r="C190" s="16" t="s">
        <v>34</v>
      </c>
      <c r="D190" s="17" t="s">
        <v>35</v>
      </c>
      <c r="E190" s="18" t="s">
        <v>34</v>
      </c>
      <c r="F190" s="19" t="str">
        <f t="shared" si="3"/>
        <v/>
      </c>
      <c r="G190" s="20"/>
      <c r="H190" s="245"/>
      <c r="I190" s="21"/>
      <c r="J190" s="21"/>
      <c r="K190" s="22"/>
    </row>
    <row r="191" spans="1:11" ht="63.75" customHeight="1" x14ac:dyDescent="0.25">
      <c r="A191" s="14" t="s">
        <v>179</v>
      </c>
      <c r="B191" s="15" t="s">
        <v>182</v>
      </c>
      <c r="C191" s="16">
        <v>4408.21</v>
      </c>
      <c r="D191" s="17" t="s">
        <v>23</v>
      </c>
      <c r="E191" s="18">
        <v>6</v>
      </c>
      <c r="F191" s="19">
        <f t="shared" si="3"/>
        <v>26449.260000000002</v>
      </c>
      <c r="G191" s="20"/>
      <c r="H191" s="245"/>
      <c r="I191" s="21"/>
      <c r="J191" s="21"/>
      <c r="K191" s="22"/>
    </row>
    <row r="192" spans="1:11" ht="63.75" customHeight="1" x14ac:dyDescent="0.25">
      <c r="A192" s="14" t="s">
        <v>179</v>
      </c>
      <c r="B192" s="15" t="s">
        <v>183</v>
      </c>
      <c r="C192" s="16">
        <v>522.39</v>
      </c>
      <c r="D192" s="17" t="s">
        <v>23</v>
      </c>
      <c r="E192" s="18">
        <v>24</v>
      </c>
      <c r="F192" s="19">
        <f t="shared" si="3"/>
        <v>12537.36</v>
      </c>
      <c r="G192" s="20"/>
      <c r="H192" s="245"/>
      <c r="I192" s="21"/>
      <c r="J192" s="21"/>
      <c r="K192" s="22"/>
    </row>
    <row r="193" spans="1:11" ht="78" customHeight="1" x14ac:dyDescent="0.25">
      <c r="A193" s="14" t="s">
        <v>179</v>
      </c>
      <c r="B193" s="15" t="s">
        <v>184</v>
      </c>
      <c r="C193" s="16">
        <v>1489.14</v>
      </c>
      <c r="D193" s="17" t="s">
        <v>21</v>
      </c>
      <c r="E193" s="18">
        <v>18</v>
      </c>
      <c r="F193" s="19">
        <f t="shared" si="3"/>
        <v>26804.52</v>
      </c>
      <c r="G193" s="20"/>
      <c r="H193" s="245"/>
      <c r="I193" s="21"/>
      <c r="J193" s="21"/>
      <c r="K193" s="22"/>
    </row>
    <row r="194" spans="1:11" ht="49.5" customHeight="1" x14ac:dyDescent="0.25">
      <c r="A194" s="31" t="s">
        <v>179</v>
      </c>
      <c r="B194" s="32" t="s">
        <v>185</v>
      </c>
      <c r="C194" s="33" t="s">
        <v>34</v>
      </c>
      <c r="D194" s="34" t="s">
        <v>35</v>
      </c>
      <c r="E194" s="35" t="s">
        <v>34</v>
      </c>
      <c r="F194" s="36" t="str">
        <f t="shared" si="3"/>
        <v/>
      </c>
      <c r="G194" s="20"/>
      <c r="H194" s="199"/>
      <c r="I194" s="37"/>
      <c r="J194" s="37"/>
      <c r="K194" s="38"/>
    </row>
    <row r="195" spans="1:11" ht="63.75" customHeight="1" x14ac:dyDescent="0.25">
      <c r="A195" s="23" t="s">
        <v>179</v>
      </c>
      <c r="B195" s="24" t="s">
        <v>186</v>
      </c>
      <c r="C195" s="25" t="s">
        <v>34</v>
      </c>
      <c r="D195" s="26" t="s">
        <v>35</v>
      </c>
      <c r="E195" s="27" t="s">
        <v>34</v>
      </c>
      <c r="F195" s="28" t="str">
        <f t="shared" si="3"/>
        <v/>
      </c>
      <c r="G195" s="20"/>
      <c r="H195" s="200"/>
      <c r="I195" s="29"/>
      <c r="J195" s="29"/>
      <c r="K195" s="30"/>
    </row>
    <row r="196" spans="1:11" ht="78" customHeight="1" x14ac:dyDescent="0.25">
      <c r="A196" s="31" t="s">
        <v>171</v>
      </c>
      <c r="B196" s="32" t="s">
        <v>187</v>
      </c>
      <c r="C196" s="33" t="s">
        <v>34</v>
      </c>
      <c r="D196" s="34" t="s">
        <v>35</v>
      </c>
      <c r="E196" s="35" t="s">
        <v>34</v>
      </c>
      <c r="F196" s="36" t="str">
        <f t="shared" si="3"/>
        <v/>
      </c>
      <c r="G196" s="20"/>
      <c r="H196" s="199"/>
      <c r="I196" s="37"/>
      <c r="J196" s="37"/>
      <c r="K196" s="38"/>
    </row>
    <row r="197" spans="1:11" ht="78" customHeight="1" thickBot="1" x14ac:dyDescent="0.3">
      <c r="A197" s="31" t="s">
        <v>179</v>
      </c>
      <c r="B197" s="32" t="s">
        <v>188</v>
      </c>
      <c r="C197" s="33">
        <v>1419.24</v>
      </c>
      <c r="D197" s="34" t="s">
        <v>23</v>
      </c>
      <c r="E197" s="35">
        <v>1</v>
      </c>
      <c r="F197" s="36">
        <f t="shared" si="3"/>
        <v>1419.24</v>
      </c>
      <c r="G197" s="20"/>
      <c r="H197" s="199"/>
      <c r="I197" s="37"/>
      <c r="J197" s="37"/>
      <c r="K197" s="38"/>
    </row>
    <row r="198" spans="1:11" ht="18.75" customHeight="1" thickBot="1" x14ac:dyDescent="0.3">
      <c r="A198" s="213" t="s">
        <v>28</v>
      </c>
      <c r="B198" s="213"/>
      <c r="C198" s="213"/>
      <c r="D198" s="213"/>
      <c r="E198" s="39"/>
      <c r="F198" s="40">
        <f>IF(SUM(F187:F197)=0,"-",SUM(F187:F197))</f>
        <v>186515.34051659037</v>
      </c>
      <c r="G198" s="41"/>
      <c r="H198" s="204" t="str">
        <f>IF(SUM(H186:H197)=0,"-",SUM(H186:H197))</f>
        <v>-</v>
      </c>
      <c r="I198" s="40" t="str">
        <f>IF(SUM(I186:I197)=0,"-",SUM(I186:I197))</f>
        <v>-</v>
      </c>
      <c r="J198" s="40" t="str">
        <f>IF(SUM(J186:J197)=0,"-",SUM(J186:J197))</f>
        <v>-</v>
      </c>
      <c r="K198" s="42" t="str">
        <f>IF(SUM(K186:K197)=0,"-",SUM(K186:K197))</f>
        <v>-</v>
      </c>
    </row>
    <row r="199" spans="1:11" ht="6.75" customHeight="1" x14ac:dyDescent="0.25"/>
    <row r="200" spans="1:11" ht="18.75" customHeight="1" x14ac:dyDescent="0.25">
      <c r="A200" s="212" t="s">
        <v>189</v>
      </c>
      <c r="B200" s="212"/>
      <c r="C200" s="212"/>
      <c r="D200" s="212"/>
      <c r="E200" s="212"/>
      <c r="F200" s="212"/>
      <c r="G200" s="6"/>
      <c r="H200" s="7" t="s">
        <v>12</v>
      </c>
      <c r="I200" s="8" t="s">
        <v>13</v>
      </c>
      <c r="J200" s="8" t="s">
        <v>14</v>
      </c>
      <c r="K200" s="9" t="s">
        <v>15</v>
      </c>
    </row>
    <row r="201" spans="1:11" ht="18.75" customHeight="1" thickBot="1" x14ac:dyDescent="0.3">
      <c r="A201" s="212"/>
      <c r="B201" s="212"/>
      <c r="C201" s="212"/>
      <c r="D201" s="212"/>
      <c r="E201" s="212"/>
      <c r="F201" s="212"/>
      <c r="G201" s="10"/>
      <c r="H201" s="11"/>
      <c r="I201" s="12"/>
      <c r="J201" s="12"/>
      <c r="K201" s="13"/>
    </row>
    <row r="202" spans="1:11" ht="78" customHeight="1" x14ac:dyDescent="0.25">
      <c r="A202" s="14" t="s">
        <v>190</v>
      </c>
      <c r="B202" s="15" t="s">
        <v>191</v>
      </c>
      <c r="C202" s="16">
        <v>1102.55</v>
      </c>
      <c r="D202" s="17" t="s">
        <v>23</v>
      </c>
      <c r="E202" s="18">
        <v>28</v>
      </c>
      <c r="F202" s="19">
        <f t="shared" ref="F202:F219" si="4">IF(AND(ISNUMBER($C202),ISNUMBER($E202)),$C202*$E202,"")</f>
        <v>30871.399999999998</v>
      </c>
      <c r="G202" s="20"/>
      <c r="H202" s="245"/>
      <c r="I202" s="21"/>
      <c r="J202" s="21"/>
      <c r="K202" s="22"/>
    </row>
    <row r="203" spans="1:11" ht="49.5" customHeight="1" x14ac:dyDescent="0.25">
      <c r="A203" s="14" t="s">
        <v>190</v>
      </c>
      <c r="B203" s="15" t="s">
        <v>192</v>
      </c>
      <c r="C203" s="16">
        <v>1160.3</v>
      </c>
      <c r="D203" s="17" t="s">
        <v>23</v>
      </c>
      <c r="E203" s="18">
        <v>28</v>
      </c>
      <c r="F203" s="19">
        <f t="shared" si="4"/>
        <v>32488.399999999998</v>
      </c>
      <c r="G203" s="20"/>
      <c r="H203" s="245"/>
      <c r="I203" s="21"/>
      <c r="J203" s="21"/>
      <c r="K203" s="22"/>
    </row>
    <row r="204" spans="1:11" ht="78" customHeight="1" x14ac:dyDescent="0.25">
      <c r="A204" s="14" t="s">
        <v>176</v>
      </c>
      <c r="B204" s="24" t="s">
        <v>193</v>
      </c>
      <c r="C204" s="25" t="s">
        <v>34</v>
      </c>
      <c r="D204" s="26" t="s">
        <v>35</v>
      </c>
      <c r="E204" s="27" t="s">
        <v>34</v>
      </c>
      <c r="F204" s="28" t="str">
        <f t="shared" si="4"/>
        <v/>
      </c>
      <c r="G204" s="20"/>
      <c r="H204" s="200"/>
      <c r="I204" s="29"/>
      <c r="J204" s="29"/>
      <c r="K204" s="30"/>
    </row>
    <row r="205" spans="1:11" ht="63.75" customHeight="1" x14ac:dyDescent="0.25">
      <c r="A205" s="31" t="s">
        <v>190</v>
      </c>
      <c r="B205" s="32" t="s">
        <v>194</v>
      </c>
      <c r="C205" s="33" t="s">
        <v>34</v>
      </c>
      <c r="D205" s="34" t="s">
        <v>35</v>
      </c>
      <c r="E205" s="35" t="s">
        <v>34</v>
      </c>
      <c r="F205" s="36" t="str">
        <f t="shared" si="4"/>
        <v/>
      </c>
      <c r="G205" s="20"/>
      <c r="H205" s="199"/>
      <c r="I205" s="37"/>
      <c r="J205" s="37"/>
      <c r="K205" s="38"/>
    </row>
    <row r="206" spans="1:11" ht="49.5" customHeight="1" x14ac:dyDescent="0.25">
      <c r="A206" s="23" t="s">
        <v>190</v>
      </c>
      <c r="B206" s="24" t="s">
        <v>195</v>
      </c>
      <c r="C206" s="25">
        <v>204.23</v>
      </c>
      <c r="D206" s="26" t="s">
        <v>23</v>
      </c>
      <c r="E206" s="27">
        <v>28</v>
      </c>
      <c r="F206" s="28">
        <f t="shared" si="4"/>
        <v>5718.44</v>
      </c>
      <c r="G206" s="20"/>
      <c r="H206" s="200"/>
      <c r="I206" s="29"/>
      <c r="J206" s="29"/>
      <c r="K206" s="30"/>
    </row>
    <row r="207" spans="1:11" ht="49.5" customHeight="1" x14ac:dyDescent="0.25">
      <c r="A207" s="23" t="s">
        <v>190</v>
      </c>
      <c r="B207" s="24" t="s">
        <v>196</v>
      </c>
      <c r="C207" s="25" t="s">
        <v>34</v>
      </c>
      <c r="D207" s="26" t="s">
        <v>35</v>
      </c>
      <c r="E207" s="27" t="s">
        <v>34</v>
      </c>
      <c r="F207" s="28" t="str">
        <f t="shared" si="4"/>
        <v/>
      </c>
      <c r="G207" s="20"/>
      <c r="H207" s="200"/>
      <c r="I207" s="29"/>
      <c r="J207" s="29"/>
      <c r="K207" s="30"/>
    </row>
    <row r="208" spans="1:11" ht="63.75" customHeight="1" x14ac:dyDescent="0.25">
      <c r="A208" s="31" t="s">
        <v>190</v>
      </c>
      <c r="B208" s="32" t="s">
        <v>197</v>
      </c>
      <c r="C208" s="33" t="s">
        <v>34</v>
      </c>
      <c r="D208" s="34" t="s">
        <v>35</v>
      </c>
      <c r="E208" s="35" t="s">
        <v>34</v>
      </c>
      <c r="F208" s="36" t="str">
        <f t="shared" si="4"/>
        <v/>
      </c>
      <c r="G208" s="20"/>
      <c r="H208" s="199"/>
      <c r="I208" s="37"/>
      <c r="J208" s="37"/>
      <c r="K208" s="38"/>
    </row>
    <row r="209" spans="1:11" ht="49.5" customHeight="1" x14ac:dyDescent="0.25">
      <c r="A209" s="23" t="s">
        <v>198</v>
      </c>
      <c r="B209" s="24" t="s">
        <v>199</v>
      </c>
      <c r="C209" s="25" t="s">
        <v>34</v>
      </c>
      <c r="D209" s="26" t="s">
        <v>35</v>
      </c>
      <c r="E209" s="27" t="s">
        <v>34</v>
      </c>
      <c r="F209" s="28" t="str">
        <f t="shared" si="4"/>
        <v/>
      </c>
      <c r="G209" s="20"/>
      <c r="H209" s="200"/>
      <c r="I209" s="29"/>
      <c r="J209" s="29"/>
      <c r="K209" s="30"/>
    </row>
    <row r="210" spans="1:11" ht="36" customHeight="1" x14ac:dyDescent="0.25">
      <c r="A210" s="31" t="s">
        <v>198</v>
      </c>
      <c r="B210" s="32" t="s">
        <v>200</v>
      </c>
      <c r="C210" s="33" t="s">
        <v>34</v>
      </c>
      <c r="D210" s="34" t="s">
        <v>35</v>
      </c>
      <c r="E210" s="35" t="s">
        <v>34</v>
      </c>
      <c r="F210" s="36" t="str">
        <f t="shared" si="4"/>
        <v/>
      </c>
      <c r="G210" s="20"/>
      <c r="H210" s="199"/>
      <c r="I210" s="37"/>
      <c r="J210" s="37"/>
      <c r="K210" s="38"/>
    </row>
    <row r="211" spans="1:11" ht="78" customHeight="1" x14ac:dyDescent="0.25">
      <c r="A211" s="23" t="s">
        <v>198</v>
      </c>
      <c r="B211" s="24" t="s">
        <v>201</v>
      </c>
      <c r="C211" s="25" t="s">
        <v>34</v>
      </c>
      <c r="D211" s="26" t="s">
        <v>35</v>
      </c>
      <c r="E211" s="27" t="s">
        <v>34</v>
      </c>
      <c r="F211" s="28" t="str">
        <f t="shared" si="4"/>
        <v/>
      </c>
      <c r="G211" s="20"/>
      <c r="H211" s="200"/>
      <c r="I211" s="29"/>
      <c r="J211" s="29"/>
      <c r="K211" s="30"/>
    </row>
    <row r="212" spans="1:11" ht="78" customHeight="1" x14ac:dyDescent="0.25">
      <c r="A212" s="31" t="s">
        <v>179</v>
      </c>
      <c r="B212" s="24" t="s">
        <v>1611</v>
      </c>
      <c r="C212" s="25">
        <v>1</v>
      </c>
      <c r="D212" s="26" t="s">
        <v>19</v>
      </c>
      <c r="E212" s="27">
        <v>6000</v>
      </c>
      <c r="F212" s="28">
        <f t="shared" si="4"/>
        <v>6000</v>
      </c>
      <c r="G212" s="20"/>
      <c r="H212" s="200"/>
      <c r="I212" s="29"/>
      <c r="J212" s="29"/>
      <c r="K212" s="30"/>
    </row>
    <row r="213" spans="1:11" ht="49.5" customHeight="1" x14ac:dyDescent="0.25">
      <c r="A213" s="31" t="s">
        <v>198</v>
      </c>
      <c r="B213" s="32" t="s">
        <v>202</v>
      </c>
      <c r="C213" s="33" t="s">
        <v>34</v>
      </c>
      <c r="D213" s="34" t="s">
        <v>35</v>
      </c>
      <c r="E213" s="35" t="s">
        <v>34</v>
      </c>
      <c r="F213" s="36" t="str">
        <f t="shared" si="4"/>
        <v/>
      </c>
      <c r="G213" s="20"/>
      <c r="H213" s="199"/>
      <c r="I213" s="37"/>
      <c r="J213" s="37"/>
      <c r="K213" s="38"/>
    </row>
    <row r="214" spans="1:11" ht="49.5" customHeight="1" x14ac:dyDescent="0.25">
      <c r="A214" s="23" t="s">
        <v>198</v>
      </c>
      <c r="B214" s="24" t="s">
        <v>203</v>
      </c>
      <c r="C214" s="25" t="s">
        <v>34</v>
      </c>
      <c r="D214" s="26" t="s">
        <v>35</v>
      </c>
      <c r="E214" s="27" t="s">
        <v>34</v>
      </c>
      <c r="F214" s="28" t="str">
        <f t="shared" si="4"/>
        <v/>
      </c>
      <c r="G214" s="20"/>
      <c r="H214" s="200"/>
      <c r="I214" s="29"/>
      <c r="J214" s="29"/>
      <c r="K214" s="30"/>
    </row>
    <row r="215" spans="1:11" ht="63.75" customHeight="1" x14ac:dyDescent="0.25">
      <c r="A215" s="31" t="s">
        <v>198</v>
      </c>
      <c r="B215" s="32" t="s">
        <v>204</v>
      </c>
      <c r="C215" s="33" t="s">
        <v>34</v>
      </c>
      <c r="D215" s="34" t="s">
        <v>35</v>
      </c>
      <c r="E215" s="35" t="s">
        <v>34</v>
      </c>
      <c r="F215" s="36" t="str">
        <f t="shared" si="4"/>
        <v/>
      </c>
      <c r="G215" s="20"/>
      <c r="H215" s="199"/>
      <c r="I215" s="37"/>
      <c r="J215" s="37"/>
      <c r="K215" s="38"/>
    </row>
    <row r="216" spans="1:11" ht="63.75" customHeight="1" x14ac:dyDescent="0.25">
      <c r="A216" s="31" t="s">
        <v>198</v>
      </c>
      <c r="B216" s="32" t="s">
        <v>205</v>
      </c>
      <c r="C216" s="33">
        <v>1</v>
      </c>
      <c r="D216" s="34" t="s">
        <v>19</v>
      </c>
      <c r="E216" s="35">
        <v>3600</v>
      </c>
      <c r="F216" s="36">
        <f t="shared" si="4"/>
        <v>3600</v>
      </c>
      <c r="G216" s="20"/>
      <c r="H216" s="199"/>
      <c r="I216" s="37"/>
      <c r="J216" s="37"/>
      <c r="K216" s="38"/>
    </row>
    <row r="217" spans="1:11" ht="63.75" customHeight="1" x14ac:dyDescent="0.25">
      <c r="A217" s="31" t="s">
        <v>198</v>
      </c>
      <c r="B217" s="32" t="s">
        <v>206</v>
      </c>
      <c r="C217" s="33">
        <v>439.97</v>
      </c>
      <c r="D217" s="34" t="s">
        <v>21</v>
      </c>
      <c r="E217" s="35">
        <v>100</v>
      </c>
      <c r="F217" s="36">
        <f t="shared" si="4"/>
        <v>43997</v>
      </c>
      <c r="G217" s="20"/>
      <c r="H217" s="199"/>
      <c r="I217" s="37"/>
      <c r="J217" s="37"/>
      <c r="K217" s="38"/>
    </row>
    <row r="218" spans="1:11" ht="63.75" customHeight="1" x14ac:dyDescent="0.25">
      <c r="A218" s="31" t="s">
        <v>198</v>
      </c>
      <c r="B218" s="32" t="s">
        <v>207</v>
      </c>
      <c r="C218" s="33">
        <v>214.14</v>
      </c>
      <c r="D218" s="34" t="s">
        <v>21</v>
      </c>
      <c r="E218" s="35">
        <v>100</v>
      </c>
      <c r="F218" s="36">
        <f t="shared" si="4"/>
        <v>21414</v>
      </c>
      <c r="G218" s="20"/>
      <c r="H218" s="199"/>
      <c r="I218" s="37"/>
      <c r="J218" s="37"/>
      <c r="K218" s="38"/>
    </row>
    <row r="219" spans="1:11" ht="63.75" customHeight="1" x14ac:dyDescent="0.25">
      <c r="A219" s="31" t="s">
        <v>198</v>
      </c>
      <c r="B219" s="32" t="s">
        <v>208</v>
      </c>
      <c r="C219" s="33">
        <v>215</v>
      </c>
      <c r="D219" s="34" t="s">
        <v>21</v>
      </c>
      <c r="E219" s="35">
        <v>24</v>
      </c>
      <c r="F219" s="36">
        <f t="shared" si="4"/>
        <v>5160</v>
      </c>
      <c r="G219" s="20"/>
      <c r="H219" s="199"/>
      <c r="I219" s="37"/>
      <c r="J219" s="37"/>
      <c r="K219" s="38"/>
    </row>
    <row r="220" spans="1:11" ht="18.75" customHeight="1" x14ac:dyDescent="0.25">
      <c r="A220" s="216" t="s">
        <v>28</v>
      </c>
      <c r="B220" s="213"/>
      <c r="C220" s="213"/>
      <c r="D220" s="213"/>
      <c r="E220" s="39"/>
      <c r="F220" s="40">
        <f>IF(SUM(F202:F219)=0,"-",SUM(F202:F219))</f>
        <v>149249.24</v>
      </c>
      <c r="G220" s="41"/>
      <c r="H220" s="204" t="str">
        <f>IF(SUM(H201:H219)=0,"-",SUM(H201:H219))</f>
        <v>-</v>
      </c>
      <c r="I220" s="40" t="str">
        <f>IF(SUM(I201:I219)=0,"-",SUM(I201:I219))</f>
        <v>-</v>
      </c>
      <c r="J220" s="40" t="str">
        <f>IF(SUM(J201:J219)=0,"-",SUM(J201:J219))</f>
        <v>-</v>
      </c>
      <c r="K220" s="42" t="str">
        <f>IF(SUM(K201:K219)=0,"-",SUM(K201:K219))</f>
        <v>-</v>
      </c>
    </row>
    <row r="221" spans="1:11" ht="6.75" customHeight="1" x14ac:dyDescent="0.25"/>
    <row r="222" spans="1:11" ht="18.75" customHeight="1" x14ac:dyDescent="0.25">
      <c r="A222" s="212" t="s">
        <v>209</v>
      </c>
      <c r="B222" s="212"/>
      <c r="C222" s="212"/>
      <c r="D222" s="212"/>
      <c r="E222" s="212"/>
      <c r="F222" s="212"/>
      <c r="G222" s="6"/>
      <c r="H222" s="7" t="s">
        <v>12</v>
      </c>
      <c r="I222" s="8" t="s">
        <v>13</v>
      </c>
      <c r="J222" s="8" t="s">
        <v>14</v>
      </c>
      <c r="K222" s="9" t="s">
        <v>15</v>
      </c>
    </row>
    <row r="223" spans="1:11" ht="18.75" customHeight="1" x14ac:dyDescent="0.25">
      <c r="A223" s="212"/>
      <c r="B223" s="212"/>
      <c r="C223" s="212"/>
      <c r="D223" s="212"/>
      <c r="E223" s="212"/>
      <c r="F223" s="212"/>
      <c r="G223" s="10"/>
      <c r="H223" s="11"/>
      <c r="I223" s="12"/>
      <c r="J223" s="12"/>
      <c r="K223" s="13"/>
    </row>
    <row r="224" spans="1:11" ht="49.5" customHeight="1" x14ac:dyDescent="0.25">
      <c r="A224" s="14" t="s">
        <v>210</v>
      </c>
      <c r="B224" s="15" t="s">
        <v>211</v>
      </c>
      <c r="C224" s="16">
        <v>1</v>
      </c>
      <c r="D224" s="17" t="s">
        <v>26</v>
      </c>
      <c r="E224" s="18">
        <v>2400</v>
      </c>
      <c r="F224" s="19">
        <f t="shared" ref="F224:F231" si="5">IF(AND(ISNUMBER($C224),ISNUMBER($E224)),$C224*$E224,"")</f>
        <v>2400</v>
      </c>
      <c r="G224" s="20"/>
      <c r="H224" s="245"/>
      <c r="I224" s="21"/>
      <c r="J224" s="21"/>
      <c r="K224" s="22"/>
    </row>
    <row r="225" spans="1:11" ht="49.5" customHeight="1" x14ac:dyDescent="0.25">
      <c r="A225" s="14" t="s">
        <v>210</v>
      </c>
      <c r="B225" s="15" t="s">
        <v>212</v>
      </c>
      <c r="C225" s="16">
        <v>1</v>
      </c>
      <c r="D225" s="17" t="s">
        <v>26</v>
      </c>
      <c r="E225" s="18">
        <v>2400</v>
      </c>
      <c r="F225" s="19">
        <f t="shared" si="5"/>
        <v>2400</v>
      </c>
      <c r="G225" s="20"/>
      <c r="H225" s="245"/>
      <c r="I225" s="21"/>
      <c r="J225" s="21"/>
      <c r="K225" s="22"/>
    </row>
    <row r="226" spans="1:11" ht="78" customHeight="1" x14ac:dyDescent="0.25">
      <c r="A226" s="14" t="s">
        <v>213</v>
      </c>
      <c r="B226" s="15" t="s">
        <v>214</v>
      </c>
      <c r="C226" s="16">
        <v>2</v>
      </c>
      <c r="D226" s="17" t="s">
        <v>26</v>
      </c>
      <c r="E226" s="18">
        <v>399.99999960000002</v>
      </c>
      <c r="F226" s="19">
        <f t="shared" si="5"/>
        <v>799.99999920000005</v>
      </c>
      <c r="G226" s="20"/>
      <c r="H226" s="245"/>
      <c r="I226" s="21"/>
      <c r="J226" s="21"/>
      <c r="K226" s="22"/>
    </row>
    <row r="227" spans="1:11" ht="49.5" customHeight="1" x14ac:dyDescent="0.25">
      <c r="A227" s="14" t="s">
        <v>213</v>
      </c>
      <c r="B227" s="15" t="s">
        <v>215</v>
      </c>
      <c r="C227" s="16">
        <v>29</v>
      </c>
      <c r="D227" s="17" t="s">
        <v>26</v>
      </c>
      <c r="E227" s="18">
        <v>399.99999960000002</v>
      </c>
      <c r="F227" s="19">
        <f t="shared" si="5"/>
        <v>11599.999988400001</v>
      </c>
      <c r="G227" s="20"/>
      <c r="H227" s="245"/>
      <c r="I227" s="21"/>
      <c r="J227" s="21"/>
      <c r="K227" s="22"/>
    </row>
    <row r="228" spans="1:11" ht="49.5" customHeight="1" x14ac:dyDescent="0.25">
      <c r="A228" s="23" t="s">
        <v>198</v>
      </c>
      <c r="B228" s="15" t="s">
        <v>216</v>
      </c>
      <c r="C228" s="16">
        <v>14</v>
      </c>
      <c r="D228" s="17" t="s">
        <v>26</v>
      </c>
      <c r="E228" s="18">
        <v>159.99999983999999</v>
      </c>
      <c r="F228" s="19">
        <f t="shared" si="5"/>
        <v>2239.99999776</v>
      </c>
      <c r="G228" s="20"/>
      <c r="H228" s="245"/>
      <c r="I228" s="21"/>
      <c r="J228" s="21"/>
      <c r="K228" s="22"/>
    </row>
    <row r="229" spans="1:11" ht="36" customHeight="1" x14ac:dyDescent="0.25">
      <c r="A229" s="23" t="s">
        <v>213</v>
      </c>
      <c r="B229" s="24" t="s">
        <v>217</v>
      </c>
      <c r="C229" s="25">
        <v>1</v>
      </c>
      <c r="D229" s="194" t="s">
        <v>19</v>
      </c>
      <c r="E229" s="27">
        <v>3500</v>
      </c>
      <c r="F229" s="28">
        <f t="shared" si="5"/>
        <v>3500</v>
      </c>
      <c r="G229" s="20"/>
      <c r="H229" s="200"/>
      <c r="I229" s="29"/>
      <c r="J229" s="29"/>
      <c r="K229" s="30"/>
    </row>
    <row r="230" spans="1:11" ht="49.5" customHeight="1" x14ac:dyDescent="0.25">
      <c r="A230" s="51" t="s">
        <v>210</v>
      </c>
      <c r="B230" s="52" t="s">
        <v>218</v>
      </c>
      <c r="C230" s="53">
        <v>1</v>
      </c>
      <c r="D230" s="54" t="s">
        <v>26</v>
      </c>
      <c r="E230" s="55">
        <v>3000</v>
      </c>
      <c r="F230" s="56">
        <f t="shared" si="5"/>
        <v>3000</v>
      </c>
      <c r="G230" s="20"/>
      <c r="H230" s="248"/>
      <c r="I230" s="57"/>
      <c r="J230" s="57"/>
      <c r="K230" s="58"/>
    </row>
    <row r="231" spans="1:11" ht="49.5" customHeight="1" x14ac:dyDescent="0.25">
      <c r="A231" s="51" t="s">
        <v>213</v>
      </c>
      <c r="B231" s="52" t="s">
        <v>219</v>
      </c>
      <c r="C231" s="53">
        <v>1</v>
      </c>
      <c r="D231" s="54" t="s">
        <v>26</v>
      </c>
      <c r="E231" s="55">
        <v>1500</v>
      </c>
      <c r="F231" s="56">
        <f t="shared" si="5"/>
        <v>1500</v>
      </c>
      <c r="G231" s="20"/>
      <c r="H231" s="248"/>
      <c r="I231" s="57"/>
      <c r="J231" s="57"/>
      <c r="K231" s="58"/>
    </row>
    <row r="232" spans="1:11" ht="18.75" customHeight="1" x14ac:dyDescent="0.25">
      <c r="A232" s="213" t="s">
        <v>28</v>
      </c>
      <c r="B232" s="213"/>
      <c r="C232" s="213"/>
      <c r="D232" s="213"/>
      <c r="E232" s="39"/>
      <c r="F232" s="40">
        <f>IF(SUM(F224:F231)=0,"-",SUM(F224:F231))</f>
        <v>27439.999985360002</v>
      </c>
      <c r="G232" s="41"/>
      <c r="H232" s="204" t="str">
        <f>IF(SUM(H223:H231)=0,"-",SUM(H223:H231))</f>
        <v>-</v>
      </c>
      <c r="I232" s="40" t="str">
        <f>IF(SUM(I223:I231)=0,"-",SUM(I223:I231))</f>
        <v>-</v>
      </c>
      <c r="J232" s="40" t="str">
        <f>IF(SUM(J223:J231)=0,"-",SUM(J223:J231))</f>
        <v>-</v>
      </c>
      <c r="K232" s="42" t="str">
        <f>IF(SUM(K223:K231)=0,"-",SUM(K223:K231))</f>
        <v>-</v>
      </c>
    </row>
    <row r="233" spans="1:11" ht="6.75" customHeight="1" x14ac:dyDescent="0.25"/>
    <row r="234" spans="1:11" ht="18.75" customHeight="1" x14ac:dyDescent="0.25">
      <c r="A234" s="212" t="s">
        <v>220</v>
      </c>
      <c r="B234" s="212"/>
      <c r="C234" s="212"/>
      <c r="D234" s="212"/>
      <c r="E234" s="212"/>
      <c r="F234" s="212"/>
      <c r="G234" s="6"/>
      <c r="H234" s="7" t="s">
        <v>12</v>
      </c>
      <c r="I234" s="8" t="s">
        <v>13</v>
      </c>
      <c r="J234" s="8" t="s">
        <v>14</v>
      </c>
      <c r="K234" s="9" t="s">
        <v>15</v>
      </c>
    </row>
    <row r="235" spans="1:11" ht="18.75" customHeight="1" thickBot="1" x14ac:dyDescent="0.3">
      <c r="A235" s="212"/>
      <c r="B235" s="212"/>
      <c r="C235" s="212"/>
      <c r="D235" s="212"/>
      <c r="E235" s="212"/>
      <c r="F235" s="212"/>
      <c r="G235" s="10"/>
      <c r="H235" s="11"/>
      <c r="I235" s="12"/>
      <c r="J235" s="12"/>
      <c r="K235" s="13"/>
    </row>
    <row r="236" spans="1:11" ht="91.5" customHeight="1" x14ac:dyDescent="0.25">
      <c r="A236" s="14"/>
      <c r="B236" s="15" t="s">
        <v>222</v>
      </c>
      <c r="C236" s="16">
        <v>1</v>
      </c>
      <c r="D236" s="17" t="s">
        <v>26</v>
      </c>
      <c r="E236" s="18">
        <v>12500</v>
      </c>
      <c r="F236" s="19">
        <f>IF(AND(ISNUMBER($C236),ISNUMBER($E236)),$C236*$E236,"")</f>
        <v>12500</v>
      </c>
      <c r="G236" s="20"/>
      <c r="H236" s="245"/>
      <c r="I236" s="21"/>
      <c r="J236" s="21"/>
      <c r="K236" s="22"/>
    </row>
    <row r="237" spans="1:11" ht="63.75" customHeight="1" thickBot="1" x14ac:dyDescent="0.3">
      <c r="A237" s="14" t="s">
        <v>221</v>
      </c>
      <c r="B237" s="15" t="s">
        <v>223</v>
      </c>
      <c r="C237" s="16">
        <v>1</v>
      </c>
      <c r="D237" s="17" t="s">
        <v>26</v>
      </c>
      <c r="E237" s="18">
        <v>1600.0000000800001</v>
      </c>
      <c r="F237" s="19">
        <f>IF(AND(ISNUMBER($C237),ISNUMBER($E237)),$C237*$E237,"")</f>
        <v>1600.0000000800001</v>
      </c>
      <c r="G237" s="20"/>
      <c r="H237" s="245"/>
      <c r="I237" s="21"/>
      <c r="J237" s="21"/>
      <c r="K237" s="22"/>
    </row>
    <row r="238" spans="1:11" ht="18.75" customHeight="1" x14ac:dyDescent="0.25">
      <c r="A238" s="213" t="s">
        <v>28</v>
      </c>
      <c r="B238" s="213"/>
      <c r="C238" s="213"/>
      <c r="D238" s="213"/>
      <c r="E238" s="39"/>
      <c r="F238" s="40">
        <f>IF(SUM(F236:F237)=0,"-",SUM(F236:F237))</f>
        <v>14100.000000079999</v>
      </c>
      <c r="G238" s="41"/>
      <c r="H238" s="204" t="str">
        <f>IF(SUM(H235:H237)=0,"-",SUM(H235:H237))</f>
        <v>-</v>
      </c>
      <c r="I238" s="40" t="str">
        <f>IF(SUM(I235:I237)=0,"-",SUM(I235:I237))</f>
        <v>-</v>
      </c>
      <c r="J238" s="40" t="str">
        <f>IF(SUM(J235:J237)=0,"-",SUM(J235:J237))</f>
        <v>-</v>
      </c>
      <c r="K238" s="42" t="str">
        <f>IF(SUM(K235:K237)=0,"-",SUM(K235:K237))</f>
        <v>-</v>
      </c>
    </row>
    <row r="239" spans="1:11" ht="6.75" customHeight="1" x14ac:dyDescent="0.25"/>
    <row r="240" spans="1:11" ht="18.75" customHeight="1" x14ac:dyDescent="0.25">
      <c r="A240" s="212" t="s">
        <v>224</v>
      </c>
      <c r="B240" s="212"/>
      <c r="C240" s="212"/>
      <c r="D240" s="212"/>
      <c r="E240" s="212"/>
      <c r="F240" s="212"/>
      <c r="G240" s="6"/>
      <c r="H240" s="7" t="s">
        <v>1622</v>
      </c>
      <c r="I240" s="8" t="s">
        <v>13</v>
      </c>
      <c r="J240" s="8" t="s">
        <v>14</v>
      </c>
      <c r="K240" s="9" t="s">
        <v>15</v>
      </c>
    </row>
    <row r="241" spans="1:11" ht="18.75" customHeight="1" x14ac:dyDescent="0.25">
      <c r="A241" s="212"/>
      <c r="B241" s="212"/>
      <c r="C241" s="212"/>
      <c r="D241" s="212"/>
      <c r="E241" s="212"/>
      <c r="F241" s="212"/>
      <c r="G241" s="10"/>
      <c r="H241" s="11">
        <v>40786.61</v>
      </c>
      <c r="I241" s="12"/>
      <c r="J241" s="12"/>
      <c r="K241" s="13"/>
    </row>
    <row r="242" spans="1:11" ht="78" customHeight="1" x14ac:dyDescent="0.25">
      <c r="A242" s="14" t="s">
        <v>225</v>
      </c>
      <c r="B242" s="15" t="s">
        <v>1623</v>
      </c>
      <c r="C242" s="16">
        <v>1</v>
      </c>
      <c r="D242" s="17" t="s">
        <v>19</v>
      </c>
      <c r="E242" s="18">
        <v>40800</v>
      </c>
      <c r="F242" s="19">
        <f>IF(AND(ISNUMBER($C242),ISNUMBER($E242)),$C242*$E242,"")</f>
        <v>40800</v>
      </c>
      <c r="G242" s="20"/>
      <c r="H242" s="245" t="s">
        <v>1627</v>
      </c>
      <c r="I242" s="21"/>
      <c r="J242" s="21"/>
      <c r="K242" s="22"/>
    </row>
    <row r="243" spans="1:11" ht="36" customHeight="1" x14ac:dyDescent="0.25">
      <c r="A243" s="23" t="s">
        <v>225</v>
      </c>
      <c r="B243" s="24" t="s">
        <v>226</v>
      </c>
      <c r="C243" s="25">
        <v>1</v>
      </c>
      <c r="D243" s="26" t="s">
        <v>19</v>
      </c>
      <c r="E243" s="27">
        <v>500</v>
      </c>
      <c r="F243" s="28">
        <f>IF(AND(ISNUMBER($C243),ISNUMBER($E243)),$C243*$E243,"")</f>
        <v>500</v>
      </c>
      <c r="G243" s="20"/>
      <c r="H243" s="200">
        <f>F243</f>
        <v>500</v>
      </c>
      <c r="I243" s="29"/>
      <c r="J243" s="29"/>
      <c r="K243" s="30"/>
    </row>
    <row r="244" spans="1:11" ht="78" customHeight="1" thickBot="1" x14ac:dyDescent="0.3">
      <c r="A244" s="14" t="s">
        <v>213</v>
      </c>
      <c r="B244" s="32" t="s">
        <v>227</v>
      </c>
      <c r="C244" s="33" t="s">
        <v>34</v>
      </c>
      <c r="D244" s="34" t="s">
        <v>35</v>
      </c>
      <c r="E244" s="35" t="s">
        <v>34</v>
      </c>
      <c r="F244" s="36" t="str">
        <f>IF(AND(ISNUMBER($C244),ISNUMBER($E244)),$C244*$E244,"")</f>
        <v/>
      </c>
      <c r="G244" s="20"/>
      <c r="H244" s="199" t="s">
        <v>1627</v>
      </c>
      <c r="I244" s="37"/>
      <c r="J244" s="37"/>
      <c r="K244" s="38"/>
    </row>
    <row r="245" spans="1:11" ht="18.75" customHeight="1" thickBot="1" x14ac:dyDescent="0.3">
      <c r="A245" s="213" t="s">
        <v>28</v>
      </c>
      <c r="B245" s="213"/>
      <c r="C245" s="213"/>
      <c r="D245" s="213"/>
      <c r="E245" s="39"/>
      <c r="F245" s="40">
        <f>IF(SUM(F242:F244)=0,"-",SUM(F242:F244))</f>
        <v>41300</v>
      </c>
      <c r="G245" s="41"/>
      <c r="H245" s="204">
        <f>IF(SUM(H241:H244)=0,"-",SUM(H241:H244))</f>
        <v>41286.61</v>
      </c>
      <c r="I245" s="40" t="str">
        <f>IF(SUM(I241:I244)=0,"-",SUM(I241:I244))</f>
        <v>-</v>
      </c>
      <c r="J245" s="40" t="str">
        <f>IF(SUM(J241:J244)=0,"-",SUM(J241:J244))</f>
        <v>-</v>
      </c>
      <c r="K245" s="42" t="str">
        <f>IF(SUM(K241:K244)=0,"-",SUM(K241:K244))</f>
        <v>-</v>
      </c>
    </row>
    <row r="246" spans="1:11" ht="6.75" customHeight="1" x14ac:dyDescent="0.25"/>
    <row r="247" spans="1:11" ht="18.75" customHeight="1" x14ac:dyDescent="0.25">
      <c r="A247" s="212" t="s">
        <v>228</v>
      </c>
      <c r="B247" s="212"/>
      <c r="C247" s="212"/>
      <c r="D247" s="212"/>
      <c r="E247" s="212"/>
      <c r="F247" s="212"/>
      <c r="G247" s="6"/>
      <c r="H247" s="7" t="s">
        <v>12</v>
      </c>
      <c r="I247" s="8" t="s">
        <v>13</v>
      </c>
      <c r="J247" s="8" t="s">
        <v>14</v>
      </c>
      <c r="K247" s="9" t="s">
        <v>15</v>
      </c>
    </row>
    <row r="248" spans="1:11" ht="18.75" customHeight="1" x14ac:dyDescent="0.25">
      <c r="A248" s="212"/>
      <c r="B248" s="212"/>
      <c r="C248" s="212"/>
      <c r="D248" s="212"/>
      <c r="E248" s="212"/>
      <c r="F248" s="212"/>
      <c r="G248" s="10"/>
      <c r="H248" s="11"/>
      <c r="I248" s="12"/>
      <c r="J248" s="12"/>
      <c r="K248" s="13"/>
    </row>
    <row r="249" spans="1:11" ht="21.75" customHeight="1" x14ac:dyDescent="0.25">
      <c r="A249" s="14" t="s">
        <v>221</v>
      </c>
      <c r="B249" s="32" t="s">
        <v>66</v>
      </c>
      <c r="C249" s="33">
        <v>1</v>
      </c>
      <c r="D249" s="34" t="s">
        <v>19</v>
      </c>
      <c r="E249" s="35">
        <v>1500</v>
      </c>
      <c r="F249" s="36">
        <f t="shared" ref="F249:F254" si="6">IF(AND(ISNUMBER($C249),ISNUMBER($E249)),$C249*$E249,"")</f>
        <v>1500</v>
      </c>
      <c r="G249" s="20"/>
      <c r="H249" s="199"/>
      <c r="I249" s="37"/>
      <c r="J249" s="37"/>
      <c r="K249" s="38"/>
    </row>
    <row r="250" spans="1:11" ht="36" customHeight="1" x14ac:dyDescent="0.25">
      <c r="A250" s="31" t="s">
        <v>230</v>
      </c>
      <c r="B250" s="32" t="s">
        <v>231</v>
      </c>
      <c r="C250" s="33">
        <v>2</v>
      </c>
      <c r="D250" s="34" t="s">
        <v>26</v>
      </c>
      <c r="E250" s="35">
        <v>2800</v>
      </c>
      <c r="F250" s="36">
        <f t="shared" si="6"/>
        <v>5600</v>
      </c>
      <c r="G250" s="20"/>
      <c r="H250" s="199"/>
      <c r="I250" s="37"/>
      <c r="J250" s="37"/>
      <c r="K250" s="38"/>
    </row>
    <row r="251" spans="1:11" ht="36" customHeight="1" x14ac:dyDescent="0.25">
      <c r="A251" s="31" t="s">
        <v>230</v>
      </c>
      <c r="B251" s="32" t="s">
        <v>232</v>
      </c>
      <c r="C251" s="33">
        <v>2</v>
      </c>
      <c r="D251" s="34" t="s">
        <v>26</v>
      </c>
      <c r="E251" s="35">
        <v>2600</v>
      </c>
      <c r="F251" s="36">
        <f t="shared" si="6"/>
        <v>5200</v>
      </c>
      <c r="G251" s="20"/>
      <c r="H251" s="199"/>
      <c r="I251" s="37"/>
      <c r="J251" s="37"/>
      <c r="K251" s="38"/>
    </row>
    <row r="252" spans="1:11" ht="36" customHeight="1" x14ac:dyDescent="0.25">
      <c r="A252" s="31" t="s">
        <v>230</v>
      </c>
      <c r="B252" s="32" t="s">
        <v>233</v>
      </c>
      <c r="C252" s="33">
        <v>2</v>
      </c>
      <c r="D252" s="34" t="s">
        <v>26</v>
      </c>
      <c r="E252" s="35">
        <v>2700</v>
      </c>
      <c r="F252" s="36">
        <f t="shared" si="6"/>
        <v>5400</v>
      </c>
      <c r="G252" s="20"/>
      <c r="H252" s="199"/>
      <c r="I252" s="37"/>
      <c r="J252" s="37"/>
      <c r="K252" s="38"/>
    </row>
    <row r="253" spans="1:11" ht="36" customHeight="1" x14ac:dyDescent="0.25">
      <c r="A253" s="31" t="s">
        <v>230</v>
      </c>
      <c r="B253" s="32" t="s">
        <v>234</v>
      </c>
      <c r="C253" s="33">
        <v>6</v>
      </c>
      <c r="D253" s="34" t="s">
        <v>26</v>
      </c>
      <c r="E253" s="35">
        <v>900</v>
      </c>
      <c r="F253" s="36">
        <f t="shared" si="6"/>
        <v>5400</v>
      </c>
      <c r="G253" s="20"/>
      <c r="H253" s="199"/>
      <c r="I253" s="37"/>
      <c r="J253" s="37"/>
      <c r="K253" s="38"/>
    </row>
    <row r="254" spans="1:11" ht="36" customHeight="1" x14ac:dyDescent="0.25">
      <c r="A254" s="31" t="s">
        <v>230</v>
      </c>
      <c r="B254" s="32" t="s">
        <v>235</v>
      </c>
      <c r="C254" s="33">
        <v>8.09</v>
      </c>
      <c r="D254" s="34" t="s">
        <v>23</v>
      </c>
      <c r="E254" s="35">
        <v>85</v>
      </c>
      <c r="F254" s="36">
        <f t="shared" si="6"/>
        <v>687.65</v>
      </c>
      <c r="G254" s="20"/>
      <c r="H254" s="199"/>
      <c r="I254" s="37"/>
      <c r="J254" s="37"/>
      <c r="K254" s="38"/>
    </row>
    <row r="255" spans="1:11" ht="18.75" customHeight="1" x14ac:dyDescent="0.25">
      <c r="A255" s="213" t="s">
        <v>28</v>
      </c>
      <c r="B255" s="213"/>
      <c r="C255" s="213"/>
      <c r="D255" s="213"/>
      <c r="E255" s="39"/>
      <c r="F255" s="40">
        <f>IF(SUM(F249:F254)=0,"-",SUM(F249:F254))</f>
        <v>23787.65</v>
      </c>
      <c r="G255" s="41"/>
      <c r="H255" s="204" t="str">
        <f>IF(SUM(H248:H254)=0,"-",SUM(H248:H254))</f>
        <v>-</v>
      </c>
      <c r="I255" s="40" t="str">
        <f>IF(SUM(I248:I254)=0,"-",SUM(I248:I254))</f>
        <v>-</v>
      </c>
      <c r="J255" s="40" t="str">
        <f>IF(SUM(J248:J254)=0,"-",SUM(J248:J254))</f>
        <v>-</v>
      </c>
      <c r="K255" s="42" t="str">
        <f>IF(SUM(K248:K254)=0,"-",SUM(K248:K254))</f>
        <v>-</v>
      </c>
    </row>
    <row r="256" spans="1:11" ht="6.75" customHeight="1" x14ac:dyDescent="0.25"/>
    <row r="257" spans="1:11" ht="18.75" customHeight="1" x14ac:dyDescent="0.25">
      <c r="A257" s="212" t="s">
        <v>236</v>
      </c>
      <c r="B257" s="212"/>
      <c r="C257" s="212"/>
      <c r="D257" s="212"/>
      <c r="E257" s="212"/>
      <c r="F257" s="212"/>
      <c r="G257" s="6"/>
      <c r="H257" s="7" t="s">
        <v>12</v>
      </c>
      <c r="I257" s="8" t="s">
        <v>13</v>
      </c>
      <c r="J257" s="8" t="s">
        <v>14</v>
      </c>
      <c r="K257" s="9" t="s">
        <v>15</v>
      </c>
    </row>
    <row r="258" spans="1:11" ht="18.75" customHeight="1" x14ac:dyDescent="0.25">
      <c r="A258" s="212"/>
      <c r="B258" s="212"/>
      <c r="C258" s="212"/>
      <c r="D258" s="212"/>
      <c r="E258" s="212"/>
      <c r="F258" s="212"/>
      <c r="G258" s="10"/>
      <c r="H258" s="11"/>
      <c r="I258" s="12"/>
      <c r="J258" s="12"/>
      <c r="K258" s="13"/>
    </row>
    <row r="259" spans="1:11" ht="49.5" customHeight="1" x14ac:dyDescent="0.25">
      <c r="A259" s="14" t="s">
        <v>237</v>
      </c>
      <c r="B259" s="15" t="s">
        <v>238</v>
      </c>
      <c r="C259" s="16">
        <v>366.84</v>
      </c>
      <c r="D259" s="17" t="s">
        <v>23</v>
      </c>
      <c r="E259" s="18">
        <v>5.7931852578780996</v>
      </c>
      <c r="F259" s="19">
        <f t="shared" ref="F259:F279" si="7">IF(AND(ISNUMBER($C259),ISNUMBER($E259)),$C259*$E259,"")</f>
        <v>2125.1720800000021</v>
      </c>
      <c r="G259" s="20"/>
      <c r="H259" s="245"/>
      <c r="I259" s="21"/>
      <c r="J259" s="21"/>
      <c r="K259" s="22"/>
    </row>
    <row r="260" spans="1:11" ht="49.5" customHeight="1" x14ac:dyDescent="0.25">
      <c r="A260" s="31" t="s">
        <v>225</v>
      </c>
      <c r="B260" s="24" t="s">
        <v>239</v>
      </c>
      <c r="C260" s="25" t="s">
        <v>34</v>
      </c>
      <c r="D260" s="26" t="s">
        <v>35</v>
      </c>
      <c r="E260" s="27" t="s">
        <v>34</v>
      </c>
      <c r="F260" s="28" t="str">
        <f t="shared" si="7"/>
        <v/>
      </c>
      <c r="G260" s="20"/>
      <c r="H260" s="200"/>
      <c r="I260" s="29"/>
      <c r="J260" s="29"/>
      <c r="K260" s="30"/>
    </row>
    <row r="261" spans="1:11" ht="49.5" customHeight="1" x14ac:dyDescent="0.25">
      <c r="A261" s="31" t="s">
        <v>237</v>
      </c>
      <c r="B261" s="32" t="s">
        <v>240</v>
      </c>
      <c r="C261" s="33" t="s">
        <v>34</v>
      </c>
      <c r="D261" s="34" t="s">
        <v>35</v>
      </c>
      <c r="E261" s="35" t="s">
        <v>34</v>
      </c>
      <c r="F261" s="36" t="str">
        <f t="shared" si="7"/>
        <v/>
      </c>
      <c r="G261" s="20"/>
      <c r="H261" s="199"/>
      <c r="I261" s="37"/>
      <c r="J261" s="37"/>
      <c r="K261" s="38"/>
    </row>
    <row r="262" spans="1:11" ht="36" customHeight="1" x14ac:dyDescent="0.25">
      <c r="A262" s="31" t="s">
        <v>237</v>
      </c>
      <c r="B262" s="32" t="s">
        <v>241</v>
      </c>
      <c r="C262" s="33" t="s">
        <v>34</v>
      </c>
      <c r="D262" s="34" t="s">
        <v>35</v>
      </c>
      <c r="E262" s="35" t="s">
        <v>34</v>
      </c>
      <c r="F262" s="36" t="str">
        <f t="shared" si="7"/>
        <v/>
      </c>
      <c r="G262" s="20"/>
      <c r="H262" s="199"/>
      <c r="I262" s="37"/>
      <c r="J262" s="37"/>
      <c r="K262" s="38"/>
    </row>
    <row r="263" spans="1:11" ht="49.5" customHeight="1" x14ac:dyDescent="0.25">
      <c r="A263" s="23" t="s">
        <v>237</v>
      </c>
      <c r="B263" s="24" t="s">
        <v>242</v>
      </c>
      <c r="C263" s="25" t="s">
        <v>34</v>
      </c>
      <c r="D263" s="26" t="s">
        <v>35</v>
      </c>
      <c r="E263" s="27" t="s">
        <v>34</v>
      </c>
      <c r="F263" s="28" t="str">
        <f t="shared" si="7"/>
        <v/>
      </c>
      <c r="G263" s="20"/>
      <c r="H263" s="200"/>
      <c r="I263" s="29"/>
      <c r="J263" s="29"/>
      <c r="K263" s="30"/>
    </row>
    <row r="264" spans="1:11" ht="49.5" customHeight="1" x14ac:dyDescent="0.25">
      <c r="A264" s="14" t="s">
        <v>237</v>
      </c>
      <c r="B264" s="15" t="s">
        <v>243</v>
      </c>
      <c r="C264" s="16">
        <v>3</v>
      </c>
      <c r="D264" s="17" t="s">
        <v>26</v>
      </c>
      <c r="E264" s="18">
        <v>450</v>
      </c>
      <c r="F264" s="19">
        <f t="shared" si="7"/>
        <v>1350</v>
      </c>
      <c r="G264" s="20"/>
      <c r="H264" s="245"/>
      <c r="I264" s="21"/>
      <c r="J264" s="21"/>
      <c r="K264" s="22"/>
    </row>
    <row r="265" spans="1:11" ht="63.75" customHeight="1" x14ac:dyDescent="0.25">
      <c r="A265" s="31" t="s">
        <v>229</v>
      </c>
      <c r="B265" s="24" t="s">
        <v>244</v>
      </c>
      <c r="C265" s="25" t="s">
        <v>34</v>
      </c>
      <c r="D265" s="26" t="s">
        <v>35</v>
      </c>
      <c r="E265" s="27" t="s">
        <v>34</v>
      </c>
      <c r="F265" s="28" t="str">
        <f t="shared" si="7"/>
        <v/>
      </c>
      <c r="G265" s="20"/>
      <c r="H265" s="200"/>
      <c r="I265" s="29"/>
      <c r="J265" s="29"/>
      <c r="K265" s="30"/>
    </row>
    <row r="266" spans="1:11" ht="49.5" customHeight="1" x14ac:dyDescent="0.25">
      <c r="A266" s="31" t="s">
        <v>237</v>
      </c>
      <c r="B266" s="32" t="s">
        <v>245</v>
      </c>
      <c r="C266" s="33" t="s">
        <v>34</v>
      </c>
      <c r="D266" s="34" t="s">
        <v>35</v>
      </c>
      <c r="E266" s="35" t="s">
        <v>34</v>
      </c>
      <c r="F266" s="36" t="str">
        <f t="shared" si="7"/>
        <v/>
      </c>
      <c r="G266" s="20"/>
      <c r="H266" s="199"/>
      <c r="I266" s="37"/>
      <c r="J266" s="37"/>
      <c r="K266" s="38"/>
    </row>
    <row r="267" spans="1:11" ht="49.5" customHeight="1" x14ac:dyDescent="0.25">
      <c r="A267" s="14" t="s">
        <v>237</v>
      </c>
      <c r="B267" s="15" t="s">
        <v>246</v>
      </c>
      <c r="C267" s="16">
        <v>46</v>
      </c>
      <c r="D267" s="17" t="s">
        <v>26</v>
      </c>
      <c r="E267" s="18">
        <v>150</v>
      </c>
      <c r="F267" s="19">
        <f t="shared" si="7"/>
        <v>6900</v>
      </c>
      <c r="G267" s="20"/>
      <c r="H267" s="245"/>
      <c r="I267" s="21"/>
      <c r="J267" s="21"/>
      <c r="K267" s="22"/>
    </row>
    <row r="268" spans="1:11" ht="36" customHeight="1" x14ac:dyDescent="0.25">
      <c r="A268" s="23" t="s">
        <v>237</v>
      </c>
      <c r="B268" s="24" t="s">
        <v>247</v>
      </c>
      <c r="C268" s="25">
        <v>1</v>
      </c>
      <c r="D268" s="26" t="s">
        <v>26</v>
      </c>
      <c r="E268" s="27">
        <v>300</v>
      </c>
      <c r="F268" s="28">
        <f t="shared" si="7"/>
        <v>300</v>
      </c>
      <c r="G268" s="20"/>
      <c r="H268" s="200"/>
      <c r="I268" s="29"/>
      <c r="J268" s="29"/>
      <c r="K268" s="30"/>
    </row>
    <row r="269" spans="1:11" ht="49.5" customHeight="1" x14ac:dyDescent="0.25">
      <c r="A269" s="31" t="s">
        <v>237</v>
      </c>
      <c r="B269" s="32" t="s">
        <v>248</v>
      </c>
      <c r="C269" s="33" t="s">
        <v>34</v>
      </c>
      <c r="D269" s="34" t="s">
        <v>35</v>
      </c>
      <c r="E269" s="35" t="s">
        <v>34</v>
      </c>
      <c r="F269" s="36" t="str">
        <f t="shared" si="7"/>
        <v/>
      </c>
      <c r="G269" s="20"/>
      <c r="H269" s="199"/>
      <c r="I269" s="37"/>
      <c r="J269" s="37"/>
      <c r="K269" s="38"/>
    </row>
    <row r="270" spans="1:11" ht="49.5" customHeight="1" x14ac:dyDescent="0.25">
      <c r="A270" s="31" t="s">
        <v>237</v>
      </c>
      <c r="B270" s="32" t="s">
        <v>249</v>
      </c>
      <c r="C270" s="33">
        <v>1</v>
      </c>
      <c r="D270" s="34" t="s">
        <v>19</v>
      </c>
      <c r="E270" s="35">
        <v>7500</v>
      </c>
      <c r="F270" s="36">
        <f t="shared" si="7"/>
        <v>7500</v>
      </c>
      <c r="G270" s="20"/>
      <c r="H270" s="199"/>
      <c r="I270" s="37"/>
      <c r="J270" s="37"/>
      <c r="K270" s="38"/>
    </row>
    <row r="271" spans="1:11" ht="49.5" customHeight="1" x14ac:dyDescent="0.25">
      <c r="A271" s="31" t="s">
        <v>237</v>
      </c>
      <c r="B271" s="32" t="s">
        <v>250</v>
      </c>
      <c r="C271" s="33">
        <v>45</v>
      </c>
      <c r="D271" s="34" t="s">
        <v>26</v>
      </c>
      <c r="E271" s="35">
        <v>113.89</v>
      </c>
      <c r="F271" s="36">
        <f t="shared" si="7"/>
        <v>5125.05</v>
      </c>
      <c r="G271" s="20"/>
      <c r="H271" s="199"/>
      <c r="I271" s="37"/>
      <c r="J271" s="37"/>
      <c r="K271" s="38"/>
    </row>
    <row r="272" spans="1:11" ht="49.5" customHeight="1" x14ac:dyDescent="0.25">
      <c r="A272" s="31" t="s">
        <v>237</v>
      </c>
      <c r="B272" s="32" t="s">
        <v>251</v>
      </c>
      <c r="C272" s="33">
        <v>1419.24</v>
      </c>
      <c r="D272" s="34" t="s">
        <v>23</v>
      </c>
      <c r="E272" s="35">
        <v>1</v>
      </c>
      <c r="F272" s="36">
        <f t="shared" si="7"/>
        <v>1419.24</v>
      </c>
      <c r="G272" s="20"/>
      <c r="H272" s="199"/>
      <c r="I272" s="37"/>
      <c r="J272" s="37"/>
      <c r="K272" s="38"/>
    </row>
    <row r="273" spans="1:11" ht="49.5" customHeight="1" x14ac:dyDescent="0.25">
      <c r="A273" s="31" t="s">
        <v>237</v>
      </c>
      <c r="B273" s="32" t="s">
        <v>252</v>
      </c>
      <c r="C273" s="33">
        <v>14</v>
      </c>
      <c r="D273" s="34" t="s">
        <v>26</v>
      </c>
      <c r="E273" s="35">
        <v>129.34</v>
      </c>
      <c r="F273" s="36">
        <f t="shared" si="7"/>
        <v>1810.76</v>
      </c>
      <c r="G273" s="20"/>
      <c r="H273" s="199"/>
      <c r="I273" s="37"/>
      <c r="J273" s="37"/>
      <c r="K273" s="38"/>
    </row>
    <row r="274" spans="1:11" ht="49.5" customHeight="1" x14ac:dyDescent="0.25">
      <c r="A274" s="31" t="s">
        <v>237</v>
      </c>
      <c r="B274" s="32" t="s">
        <v>253</v>
      </c>
      <c r="C274" s="33">
        <v>532.44000000000005</v>
      </c>
      <c r="D274" s="34" t="s">
        <v>23</v>
      </c>
      <c r="E274" s="35">
        <v>1</v>
      </c>
      <c r="F274" s="36">
        <f t="shared" si="7"/>
        <v>532.44000000000005</v>
      </c>
      <c r="G274" s="20"/>
      <c r="H274" s="199"/>
      <c r="I274" s="37"/>
      <c r="J274" s="37"/>
      <c r="K274" s="38"/>
    </row>
    <row r="275" spans="1:11" ht="49.5" customHeight="1" x14ac:dyDescent="0.25">
      <c r="A275" s="31" t="s">
        <v>237</v>
      </c>
      <c r="B275" s="32" t="s">
        <v>254</v>
      </c>
      <c r="C275" s="33">
        <v>3</v>
      </c>
      <c r="D275" s="34" t="s">
        <v>26</v>
      </c>
      <c r="E275" s="35">
        <v>129.34</v>
      </c>
      <c r="F275" s="36">
        <f t="shared" si="7"/>
        <v>388.02</v>
      </c>
      <c r="G275" s="20"/>
      <c r="H275" s="199"/>
      <c r="I275" s="37"/>
      <c r="J275" s="37"/>
      <c r="K275" s="38"/>
    </row>
    <row r="276" spans="1:11" ht="49.5" customHeight="1" x14ac:dyDescent="0.25">
      <c r="A276" s="23" t="s">
        <v>237</v>
      </c>
      <c r="B276" s="32" t="s">
        <v>255</v>
      </c>
      <c r="C276" s="33">
        <v>97.02</v>
      </c>
      <c r="D276" s="34" t="s">
        <v>23</v>
      </c>
      <c r="E276" s="35">
        <v>1</v>
      </c>
      <c r="F276" s="36">
        <f t="shared" si="7"/>
        <v>97.02</v>
      </c>
      <c r="G276" s="20"/>
      <c r="H276" s="199"/>
      <c r="I276" s="37"/>
      <c r="J276" s="37"/>
      <c r="K276" s="38"/>
    </row>
    <row r="277" spans="1:11" ht="49.5" customHeight="1" x14ac:dyDescent="0.25">
      <c r="A277" s="31" t="s">
        <v>237</v>
      </c>
      <c r="B277" s="32" t="s">
        <v>256</v>
      </c>
      <c r="C277" s="33">
        <v>12</v>
      </c>
      <c r="D277" s="34" t="s">
        <v>26</v>
      </c>
      <c r="E277" s="35">
        <v>129.34</v>
      </c>
      <c r="F277" s="36">
        <f t="shared" si="7"/>
        <v>1552.08</v>
      </c>
      <c r="G277" s="20"/>
      <c r="H277" s="199"/>
      <c r="I277" s="37"/>
      <c r="J277" s="37"/>
      <c r="K277" s="38"/>
    </row>
    <row r="278" spans="1:11" ht="49.5" customHeight="1" x14ac:dyDescent="0.25">
      <c r="A278" s="31" t="s">
        <v>237</v>
      </c>
      <c r="B278" s="32" t="s">
        <v>257</v>
      </c>
      <c r="C278" s="33">
        <v>447.84</v>
      </c>
      <c r="D278" s="34" t="s">
        <v>23</v>
      </c>
      <c r="E278" s="35">
        <v>1</v>
      </c>
      <c r="F278" s="36">
        <f t="shared" si="7"/>
        <v>447.84</v>
      </c>
      <c r="G278" s="20"/>
      <c r="H278" s="199"/>
      <c r="I278" s="37"/>
      <c r="J278" s="37"/>
      <c r="K278" s="38"/>
    </row>
    <row r="279" spans="1:11" ht="49.5" customHeight="1" thickBot="1" x14ac:dyDescent="0.3">
      <c r="A279" s="31" t="s">
        <v>237</v>
      </c>
      <c r="B279" s="32" t="s">
        <v>258</v>
      </c>
      <c r="C279" s="33">
        <v>5</v>
      </c>
      <c r="D279" s="34" t="s">
        <v>26</v>
      </c>
      <c r="E279" s="35">
        <v>600</v>
      </c>
      <c r="F279" s="36">
        <f t="shared" si="7"/>
        <v>3000</v>
      </c>
      <c r="G279" s="20"/>
      <c r="H279" s="199"/>
      <c r="I279" s="37"/>
      <c r="J279" s="37"/>
      <c r="K279" s="38"/>
    </row>
    <row r="280" spans="1:11" ht="18.75" customHeight="1" x14ac:dyDescent="0.25">
      <c r="A280" s="213" t="s">
        <v>28</v>
      </c>
      <c r="B280" s="213"/>
      <c r="C280" s="213"/>
      <c r="D280" s="213"/>
      <c r="E280" s="39"/>
      <c r="F280" s="40">
        <f>IF(SUM(F259:F279)=0,"-",SUM(F259:F279))</f>
        <v>32547.622080000005</v>
      </c>
      <c r="G280" s="41"/>
      <c r="H280" s="204" t="str">
        <f>IF(SUM(H258:H279)=0,"-",SUM(H258:H279))</f>
        <v>-</v>
      </c>
      <c r="I280" s="40" t="str">
        <f>IF(SUM(I258:I279)=0,"-",SUM(I258:I279))</f>
        <v>-</v>
      </c>
      <c r="J280" s="40" t="str">
        <f>IF(SUM(J258:J279)=0,"-",SUM(J258:J279))</f>
        <v>-</v>
      </c>
      <c r="K280" s="42" t="str">
        <f>IF(SUM(K258:K279)=0,"-",SUM(K258:K279))</f>
        <v>-</v>
      </c>
    </row>
    <row r="281" spans="1:11" ht="6.75" customHeight="1" x14ac:dyDescent="0.25"/>
    <row r="282" spans="1:11" ht="18.75" customHeight="1" x14ac:dyDescent="0.25">
      <c r="A282" s="212" t="s">
        <v>259</v>
      </c>
      <c r="B282" s="212"/>
      <c r="C282" s="212"/>
      <c r="D282" s="212"/>
      <c r="E282" s="212"/>
      <c r="F282" s="212"/>
      <c r="G282" s="6"/>
      <c r="H282" s="7" t="s">
        <v>12</v>
      </c>
      <c r="I282" s="8" t="s">
        <v>13</v>
      </c>
      <c r="J282" s="8" t="s">
        <v>14</v>
      </c>
      <c r="K282" s="9" t="s">
        <v>15</v>
      </c>
    </row>
    <row r="283" spans="1:11" ht="18.75" customHeight="1" x14ac:dyDescent="0.25">
      <c r="A283" s="212"/>
      <c r="B283" s="212"/>
      <c r="C283" s="212"/>
      <c r="D283" s="212"/>
      <c r="E283" s="212"/>
      <c r="F283" s="212"/>
      <c r="G283" s="10"/>
      <c r="H283" s="11"/>
      <c r="I283" s="12"/>
      <c r="J283" s="12"/>
      <c r="K283" s="13"/>
    </row>
    <row r="284" spans="1:11" ht="78" customHeight="1" x14ac:dyDescent="0.25">
      <c r="A284" s="14" t="s">
        <v>260</v>
      </c>
      <c r="B284" s="15" t="s">
        <v>261</v>
      </c>
      <c r="C284" s="16">
        <v>1117.8399999999999</v>
      </c>
      <c r="D284" s="17" t="s">
        <v>23</v>
      </c>
      <c r="E284" s="18">
        <v>40</v>
      </c>
      <c r="F284" s="19">
        <f>IF(AND(ISNUMBER($C284),ISNUMBER($E284)),$C284*$E284,"")</f>
        <v>44713.599999999999</v>
      </c>
      <c r="G284" s="20"/>
      <c r="H284" s="245"/>
      <c r="I284" s="21"/>
      <c r="J284" s="21"/>
      <c r="K284" s="22"/>
    </row>
    <row r="285" spans="1:11" ht="49.5" customHeight="1" x14ac:dyDescent="0.25">
      <c r="A285" s="23" t="s">
        <v>260</v>
      </c>
      <c r="B285" s="24" t="s">
        <v>262</v>
      </c>
      <c r="C285" s="25" t="s">
        <v>34</v>
      </c>
      <c r="D285" s="26" t="s">
        <v>35</v>
      </c>
      <c r="E285" s="27" t="s">
        <v>34</v>
      </c>
      <c r="F285" s="28" t="str">
        <f>IF(AND(ISNUMBER($C285),ISNUMBER($E285)),$C285*$E285,"")</f>
        <v/>
      </c>
      <c r="G285" s="20"/>
      <c r="H285" s="200"/>
      <c r="I285" s="29"/>
      <c r="J285" s="29"/>
      <c r="K285" s="30"/>
    </row>
    <row r="286" spans="1:11" ht="63.75" customHeight="1" x14ac:dyDescent="0.25">
      <c r="A286" s="31" t="s">
        <v>260</v>
      </c>
      <c r="B286" s="32" t="s">
        <v>263</v>
      </c>
      <c r="C286" s="33" t="s">
        <v>34</v>
      </c>
      <c r="D286" s="34" t="s">
        <v>35</v>
      </c>
      <c r="E286" s="35" t="s">
        <v>34</v>
      </c>
      <c r="F286" s="36" t="str">
        <f>IF(AND(ISNUMBER($C286),ISNUMBER($E286)),$C286*$E286,"")</f>
        <v/>
      </c>
      <c r="G286" s="20"/>
      <c r="H286" s="199"/>
      <c r="I286" s="37"/>
      <c r="J286" s="37"/>
      <c r="K286" s="38"/>
    </row>
    <row r="287" spans="1:11" ht="49.5" customHeight="1" x14ac:dyDescent="0.25">
      <c r="A287" s="23" t="s">
        <v>260</v>
      </c>
      <c r="B287" s="24" t="s">
        <v>264</v>
      </c>
      <c r="C287" s="25" t="s">
        <v>34</v>
      </c>
      <c r="D287" s="26" t="s">
        <v>35</v>
      </c>
      <c r="E287" s="27" t="s">
        <v>34</v>
      </c>
      <c r="F287" s="28" t="str">
        <f>IF(AND(ISNUMBER($C287),ISNUMBER($E287)),$C287*$E287,"")</f>
        <v/>
      </c>
      <c r="G287" s="20"/>
      <c r="H287" s="200"/>
      <c r="I287" s="29"/>
      <c r="J287" s="29"/>
      <c r="K287" s="30"/>
    </row>
    <row r="288" spans="1:11" ht="18.75" customHeight="1" x14ac:dyDescent="0.25">
      <c r="A288" s="213" t="s">
        <v>28</v>
      </c>
      <c r="B288" s="213"/>
      <c r="C288" s="213"/>
      <c r="D288" s="213"/>
      <c r="E288" s="39"/>
      <c r="F288" s="40">
        <f>IF(SUM(F284:F287)=0,"-",SUM(F284:F287))</f>
        <v>44713.599999999999</v>
      </c>
      <c r="G288" s="41"/>
      <c r="H288" s="204" t="str">
        <f>IF(SUM(H283:H287)=0,"-",SUM(H283:H287))</f>
        <v>-</v>
      </c>
      <c r="I288" s="40" t="str">
        <f>IF(SUM(I283:I287)=0,"-",SUM(I283:I287))</f>
        <v>-</v>
      </c>
      <c r="J288" s="40" t="str">
        <f>IF(SUM(J283:J287)=0,"-",SUM(J283:J287))</f>
        <v>-</v>
      </c>
      <c r="K288" s="42" t="str">
        <f>IF(SUM(K283:K287)=0,"-",SUM(K283:K287))</f>
        <v>-</v>
      </c>
    </row>
    <row r="289" spans="1:11" ht="6.75" customHeight="1" x14ac:dyDescent="0.25"/>
    <row r="290" spans="1:11" ht="18.75" customHeight="1" x14ac:dyDescent="0.25">
      <c r="A290" s="212" t="s">
        <v>265</v>
      </c>
      <c r="B290" s="212"/>
      <c r="C290" s="212"/>
      <c r="D290" s="212"/>
      <c r="E290" s="212"/>
      <c r="F290" s="212"/>
      <c r="G290" s="6"/>
      <c r="H290" s="7" t="s">
        <v>12</v>
      </c>
      <c r="I290" s="8" t="s">
        <v>13</v>
      </c>
      <c r="J290" s="8" t="s">
        <v>14</v>
      </c>
      <c r="K290" s="9" t="s">
        <v>15</v>
      </c>
    </row>
    <row r="291" spans="1:11" ht="18.75" customHeight="1" x14ac:dyDescent="0.25">
      <c r="A291" s="212"/>
      <c r="B291" s="212"/>
      <c r="C291" s="212"/>
      <c r="D291" s="212"/>
      <c r="E291" s="212"/>
      <c r="F291" s="212"/>
      <c r="G291" s="10"/>
      <c r="H291" s="11"/>
      <c r="I291" s="12"/>
      <c r="J291" s="12"/>
      <c r="K291" s="13"/>
    </row>
    <row r="292" spans="1:11" ht="78" customHeight="1" x14ac:dyDescent="0.25">
      <c r="A292" s="31" t="s">
        <v>237</v>
      </c>
      <c r="B292" s="15" t="s">
        <v>267</v>
      </c>
      <c r="C292" s="16">
        <v>1158.94</v>
      </c>
      <c r="D292" s="17" t="s">
        <v>23</v>
      </c>
      <c r="E292" s="18">
        <v>23</v>
      </c>
      <c r="F292" s="19">
        <f>IF(AND(ISNUMBER($C292),ISNUMBER($E292)),$C292*$E292,"")</f>
        <v>26655.620000000003</v>
      </c>
      <c r="G292" s="20"/>
      <c r="H292" s="245"/>
      <c r="I292" s="21"/>
      <c r="J292" s="21"/>
      <c r="K292" s="22"/>
    </row>
    <row r="293" spans="1:11" ht="49.5" customHeight="1" x14ac:dyDescent="0.25">
      <c r="A293" s="23" t="s">
        <v>266</v>
      </c>
      <c r="B293" s="24" t="s">
        <v>268</v>
      </c>
      <c r="C293" s="25"/>
      <c r="D293" s="26" t="s">
        <v>35</v>
      </c>
      <c r="E293" s="27" t="s">
        <v>34</v>
      </c>
      <c r="F293" s="28" t="str">
        <f>IF(AND(ISNUMBER($C293),ISNUMBER($E293)),$C293*$E293,"")</f>
        <v/>
      </c>
      <c r="G293" s="20"/>
      <c r="H293" s="200"/>
      <c r="I293" s="29"/>
      <c r="J293" s="29"/>
      <c r="K293" s="30"/>
    </row>
    <row r="294" spans="1:11" ht="18.75" customHeight="1" x14ac:dyDescent="0.25">
      <c r="A294" s="215" t="s">
        <v>28</v>
      </c>
      <c r="B294" s="213"/>
      <c r="C294" s="213"/>
      <c r="D294" s="213"/>
      <c r="E294" s="39"/>
      <c r="F294" s="40">
        <f>IF(SUM(F292:F293)=0,"-",SUM(F292:F293))</f>
        <v>26655.620000000003</v>
      </c>
      <c r="G294" s="41"/>
      <c r="H294" s="204" t="str">
        <f>IF(SUM(H291:H293)=0,"-",SUM(H291:H293))</f>
        <v>-</v>
      </c>
      <c r="I294" s="40" t="str">
        <f>IF(SUM(I291:I293)=0,"-",SUM(I291:I293))</f>
        <v>-</v>
      </c>
      <c r="J294" s="40" t="str">
        <f>IF(SUM(J291:J293)=0,"-",SUM(J291:J293))</f>
        <v>-</v>
      </c>
      <c r="K294" s="42" t="str">
        <f>IF(SUM(K291:K293)=0,"-",SUM(K291:K293))</f>
        <v>-</v>
      </c>
    </row>
    <row r="295" spans="1:11" ht="6.75" customHeight="1" x14ac:dyDescent="0.25"/>
    <row r="296" spans="1:11" ht="18.75" customHeight="1" x14ac:dyDescent="0.25">
      <c r="A296" s="212" t="s">
        <v>269</v>
      </c>
      <c r="B296" s="212"/>
      <c r="C296" s="212"/>
      <c r="D296" s="212"/>
      <c r="E296" s="212"/>
      <c r="F296" s="212"/>
      <c r="G296" s="6"/>
      <c r="H296" s="7" t="s">
        <v>12</v>
      </c>
      <c r="I296" s="8" t="s">
        <v>13</v>
      </c>
      <c r="J296" s="8" t="s">
        <v>14</v>
      </c>
      <c r="K296" s="9" t="s">
        <v>15</v>
      </c>
    </row>
    <row r="297" spans="1:11" ht="18.75" customHeight="1" x14ac:dyDescent="0.25">
      <c r="A297" s="212"/>
      <c r="B297" s="212"/>
      <c r="C297" s="212"/>
      <c r="D297" s="212"/>
      <c r="E297" s="212"/>
      <c r="F297" s="212"/>
      <c r="G297" s="10"/>
      <c r="H297" s="11"/>
      <c r="I297" s="12"/>
      <c r="J297" s="12"/>
      <c r="K297" s="13"/>
    </row>
    <row r="298" spans="1:11" ht="49.5" customHeight="1" x14ac:dyDescent="0.25">
      <c r="A298" s="14" t="s">
        <v>270</v>
      </c>
      <c r="B298" s="15" t="s">
        <v>271</v>
      </c>
      <c r="C298" s="16">
        <v>366.84</v>
      </c>
      <c r="D298" s="17" t="s">
        <v>23</v>
      </c>
      <c r="E298" s="18">
        <v>3.1492499999999999</v>
      </c>
      <c r="F298" s="19">
        <f t="shared" ref="F298:F311" si="8">IF(AND(ISNUMBER($C298),ISNUMBER($E298)),$C298*$E298,"")</f>
        <v>1155.2708699999998</v>
      </c>
      <c r="G298" s="20"/>
      <c r="H298" s="245"/>
      <c r="I298" s="21"/>
      <c r="J298" s="21"/>
      <c r="K298" s="22"/>
    </row>
    <row r="299" spans="1:11" ht="49.5" customHeight="1" x14ac:dyDescent="0.25">
      <c r="A299" s="31" t="s">
        <v>270</v>
      </c>
      <c r="B299" s="32" t="s">
        <v>272</v>
      </c>
      <c r="C299" s="33" t="s">
        <v>34</v>
      </c>
      <c r="D299" s="34" t="s">
        <v>35</v>
      </c>
      <c r="E299" s="35" t="s">
        <v>34</v>
      </c>
      <c r="F299" s="36" t="str">
        <f t="shared" si="8"/>
        <v/>
      </c>
      <c r="G299" s="20"/>
      <c r="H299" s="199"/>
      <c r="I299" s="37"/>
      <c r="J299" s="37"/>
      <c r="K299" s="38"/>
    </row>
    <row r="300" spans="1:11" ht="36" customHeight="1" x14ac:dyDescent="0.25">
      <c r="A300" s="23" t="s">
        <v>270</v>
      </c>
      <c r="B300" s="24" t="s">
        <v>273</v>
      </c>
      <c r="C300" s="25" t="s">
        <v>34</v>
      </c>
      <c r="D300" s="26" t="s">
        <v>35</v>
      </c>
      <c r="E300" s="27" t="s">
        <v>34</v>
      </c>
      <c r="F300" s="28" t="str">
        <f t="shared" si="8"/>
        <v/>
      </c>
      <c r="G300" s="20"/>
      <c r="H300" s="200"/>
      <c r="I300" s="29"/>
      <c r="J300" s="29"/>
      <c r="K300" s="30"/>
    </row>
    <row r="301" spans="1:11" ht="49.5" customHeight="1" x14ac:dyDescent="0.25">
      <c r="A301" s="31" t="s">
        <v>270</v>
      </c>
      <c r="B301" s="32" t="s">
        <v>274</v>
      </c>
      <c r="C301" s="33" t="s">
        <v>34</v>
      </c>
      <c r="D301" s="34" t="s">
        <v>35</v>
      </c>
      <c r="E301" s="35" t="s">
        <v>34</v>
      </c>
      <c r="F301" s="36" t="str">
        <f t="shared" si="8"/>
        <v/>
      </c>
      <c r="G301" s="20"/>
      <c r="H301" s="199"/>
      <c r="I301" s="37"/>
      <c r="J301" s="37"/>
      <c r="K301" s="38"/>
    </row>
    <row r="302" spans="1:11" ht="49.5" customHeight="1" x14ac:dyDescent="0.25">
      <c r="A302" s="31" t="s">
        <v>270</v>
      </c>
      <c r="B302" s="32" t="s">
        <v>275</v>
      </c>
      <c r="C302" s="33">
        <v>1181.77</v>
      </c>
      <c r="D302" s="34" t="s">
        <v>23</v>
      </c>
      <c r="E302" s="35">
        <v>1.6</v>
      </c>
      <c r="F302" s="36">
        <f t="shared" si="8"/>
        <v>1890.8320000000001</v>
      </c>
      <c r="G302" s="20"/>
      <c r="H302" s="199"/>
      <c r="I302" s="37"/>
      <c r="J302" s="37"/>
      <c r="K302" s="38"/>
    </row>
    <row r="303" spans="1:11" ht="49.5" customHeight="1" x14ac:dyDescent="0.25">
      <c r="A303" s="31" t="s">
        <v>270</v>
      </c>
      <c r="B303" s="32" t="s">
        <v>276</v>
      </c>
      <c r="C303" s="33">
        <v>7702.02</v>
      </c>
      <c r="D303" s="34" t="s">
        <v>21</v>
      </c>
      <c r="E303" s="35">
        <v>1.4</v>
      </c>
      <c r="F303" s="36">
        <f t="shared" si="8"/>
        <v>10782.828</v>
      </c>
      <c r="G303" s="20"/>
      <c r="H303" s="199"/>
      <c r="I303" s="37"/>
      <c r="J303" s="37"/>
      <c r="K303" s="38"/>
    </row>
    <row r="304" spans="1:11" ht="49.5" customHeight="1" x14ac:dyDescent="0.25">
      <c r="A304" s="31" t="s">
        <v>270</v>
      </c>
      <c r="B304" s="32" t="s">
        <v>277</v>
      </c>
      <c r="C304" s="33">
        <v>1419.24</v>
      </c>
      <c r="D304" s="34" t="s">
        <v>23</v>
      </c>
      <c r="E304" s="35">
        <v>1.4</v>
      </c>
      <c r="F304" s="36">
        <f t="shared" si="8"/>
        <v>1986.9359999999999</v>
      </c>
      <c r="G304" s="20"/>
      <c r="H304" s="199"/>
      <c r="I304" s="37"/>
      <c r="J304" s="37"/>
      <c r="K304" s="38"/>
    </row>
    <row r="305" spans="1:11" ht="49.5" customHeight="1" x14ac:dyDescent="0.25">
      <c r="A305" s="31" t="s">
        <v>270</v>
      </c>
      <c r="B305" s="32" t="s">
        <v>278</v>
      </c>
      <c r="C305" s="33">
        <v>532.44000000000005</v>
      </c>
      <c r="D305" s="34" t="s">
        <v>23</v>
      </c>
      <c r="E305" s="35">
        <v>1.4</v>
      </c>
      <c r="F305" s="36">
        <f t="shared" si="8"/>
        <v>745.41600000000005</v>
      </c>
      <c r="G305" s="165"/>
      <c r="H305" s="247"/>
      <c r="I305" s="166"/>
      <c r="J305" s="166"/>
      <c r="K305" s="167"/>
    </row>
    <row r="306" spans="1:11" ht="49.5" customHeight="1" x14ac:dyDescent="0.25">
      <c r="A306" s="31" t="s">
        <v>270</v>
      </c>
      <c r="B306" s="32" t="s">
        <v>279</v>
      </c>
      <c r="C306" s="33">
        <v>97.02</v>
      </c>
      <c r="D306" s="34" t="s">
        <v>23</v>
      </c>
      <c r="E306" s="35">
        <v>1.4</v>
      </c>
      <c r="F306" s="36">
        <f t="shared" si="8"/>
        <v>135.82799999999997</v>
      </c>
      <c r="G306" s="165"/>
      <c r="H306" s="247"/>
      <c r="I306" s="166"/>
      <c r="J306" s="166"/>
      <c r="K306" s="167"/>
    </row>
    <row r="307" spans="1:11" ht="49.5" customHeight="1" x14ac:dyDescent="0.25">
      <c r="A307" s="31" t="s">
        <v>270</v>
      </c>
      <c r="B307" s="32" t="s">
        <v>280</v>
      </c>
      <c r="C307" s="33">
        <v>447.84</v>
      </c>
      <c r="D307" s="34" t="s">
        <v>23</v>
      </c>
      <c r="E307" s="35">
        <v>1.4</v>
      </c>
      <c r="F307" s="36">
        <f t="shared" si="8"/>
        <v>626.97599999999989</v>
      </c>
      <c r="G307" s="20"/>
      <c r="H307" s="199"/>
      <c r="I307" s="37"/>
      <c r="J307" s="37"/>
      <c r="K307" s="38"/>
    </row>
    <row r="308" spans="1:11" ht="49.5" customHeight="1" x14ac:dyDescent="0.25">
      <c r="A308" s="14" t="s">
        <v>266</v>
      </c>
      <c r="B308" s="32" t="s">
        <v>281</v>
      </c>
      <c r="C308" s="33">
        <v>32</v>
      </c>
      <c r="D308" s="34" t="s">
        <v>26</v>
      </c>
      <c r="E308" s="35">
        <v>275</v>
      </c>
      <c r="F308" s="36">
        <f t="shared" si="8"/>
        <v>8800</v>
      </c>
      <c r="G308" s="20"/>
      <c r="H308" s="199"/>
      <c r="I308" s="37"/>
      <c r="J308" s="37"/>
      <c r="K308" s="38"/>
    </row>
    <row r="309" spans="1:11" ht="49.5" customHeight="1" x14ac:dyDescent="0.25">
      <c r="A309" s="31" t="s">
        <v>270</v>
      </c>
      <c r="B309" s="32" t="s">
        <v>282</v>
      </c>
      <c r="C309" s="33">
        <v>1360</v>
      </c>
      <c r="D309" s="34" t="s">
        <v>26</v>
      </c>
      <c r="E309" s="35">
        <v>3.5</v>
      </c>
      <c r="F309" s="36">
        <f t="shared" si="8"/>
        <v>4760</v>
      </c>
      <c r="G309" s="20"/>
      <c r="H309" s="199"/>
      <c r="I309" s="37"/>
      <c r="J309" s="37"/>
      <c r="K309" s="38"/>
    </row>
    <row r="310" spans="1:11" ht="49.5" customHeight="1" x14ac:dyDescent="0.25">
      <c r="A310" s="31" t="s">
        <v>270</v>
      </c>
      <c r="B310" s="32" t="s">
        <v>283</v>
      </c>
      <c r="C310" s="33">
        <v>4300</v>
      </c>
      <c r="D310" s="34" t="s">
        <v>23</v>
      </c>
      <c r="E310" s="35">
        <v>8</v>
      </c>
      <c r="F310" s="36">
        <f t="shared" si="8"/>
        <v>34400</v>
      </c>
      <c r="G310" s="20"/>
      <c r="H310" s="199"/>
      <c r="I310" s="37"/>
      <c r="J310" s="37"/>
      <c r="K310" s="38"/>
    </row>
    <row r="311" spans="1:11" ht="49.5" customHeight="1" x14ac:dyDescent="0.25">
      <c r="A311" s="31" t="s">
        <v>270</v>
      </c>
      <c r="B311" s="32" t="s">
        <v>284</v>
      </c>
      <c r="C311" s="33">
        <v>1000</v>
      </c>
      <c r="D311" s="34" t="s">
        <v>23</v>
      </c>
      <c r="E311" s="35">
        <v>8</v>
      </c>
      <c r="F311" s="36">
        <f t="shared" si="8"/>
        <v>8000</v>
      </c>
      <c r="G311" s="20"/>
      <c r="H311" s="199"/>
      <c r="I311" s="37"/>
      <c r="J311" s="37"/>
      <c r="K311" s="38"/>
    </row>
    <row r="312" spans="1:11" ht="18.75" customHeight="1" x14ac:dyDescent="0.25">
      <c r="A312" s="213" t="s">
        <v>28</v>
      </c>
      <c r="B312" s="213"/>
      <c r="C312" s="213"/>
      <c r="D312" s="213"/>
      <c r="E312" s="39"/>
      <c r="F312" s="40">
        <f>IF(SUM(F298:F311)=0,"-",SUM(F298:F311))</f>
        <v>73284.086869999999</v>
      </c>
      <c r="G312" s="41"/>
      <c r="H312" s="204" t="str">
        <f>IF(SUM(H297:H311)=0,"-",SUM(H297:H311))</f>
        <v>-</v>
      </c>
      <c r="I312" s="40" t="str">
        <f>IF(SUM(I297:I311)=0,"-",SUM(I297:I311))</f>
        <v>-</v>
      </c>
      <c r="J312" s="40" t="str">
        <f>IF(SUM(J297:J311)=0,"-",SUM(J297:J311))</f>
        <v>-</v>
      </c>
      <c r="K312" s="42" t="str">
        <f>IF(SUM(K297:K311)=0,"-",SUM(K297:K311))</f>
        <v>-</v>
      </c>
    </row>
    <row r="313" spans="1:11" ht="6.75" customHeight="1" x14ac:dyDescent="0.25"/>
    <row r="314" spans="1:11" ht="18.75" customHeight="1" x14ac:dyDescent="0.25">
      <c r="A314" s="212" t="s">
        <v>285</v>
      </c>
      <c r="B314" s="212"/>
      <c r="C314" s="212"/>
      <c r="D314" s="212"/>
      <c r="E314" s="212"/>
      <c r="F314" s="212"/>
      <c r="G314" s="6"/>
      <c r="H314" s="7" t="s">
        <v>12</v>
      </c>
      <c r="I314" s="8" t="s">
        <v>13</v>
      </c>
      <c r="J314" s="8" t="s">
        <v>14</v>
      </c>
      <c r="K314" s="9" t="s">
        <v>15</v>
      </c>
    </row>
    <row r="315" spans="1:11" ht="18.75" customHeight="1" x14ac:dyDescent="0.25">
      <c r="A315" s="212"/>
      <c r="B315" s="212"/>
      <c r="C315" s="212"/>
      <c r="D315" s="212"/>
      <c r="E315" s="212"/>
      <c r="F315" s="212"/>
      <c r="G315" s="10"/>
      <c r="H315" s="11"/>
      <c r="I315" s="12"/>
      <c r="J315" s="12"/>
      <c r="K315" s="13"/>
    </row>
    <row r="316" spans="1:11" ht="63.75" customHeight="1" x14ac:dyDescent="0.25">
      <c r="A316" s="14" t="s">
        <v>286</v>
      </c>
      <c r="B316" s="15" t="s">
        <v>287</v>
      </c>
      <c r="C316" s="16">
        <v>6</v>
      </c>
      <c r="D316" s="17" t="s">
        <v>26</v>
      </c>
      <c r="E316" s="18">
        <v>540</v>
      </c>
      <c r="F316" s="19">
        <f>IF(AND(ISNUMBER($C316),ISNUMBER($E316)),$C316*$E316,"")</f>
        <v>3240</v>
      </c>
      <c r="G316" s="20"/>
      <c r="H316" s="245"/>
      <c r="I316" s="21"/>
      <c r="J316" s="21"/>
      <c r="K316" s="22"/>
    </row>
    <row r="317" spans="1:11" ht="63.75" customHeight="1" x14ac:dyDescent="0.25">
      <c r="A317" s="14" t="s">
        <v>286</v>
      </c>
      <c r="B317" s="15" t="s">
        <v>288</v>
      </c>
      <c r="C317" s="16">
        <v>5</v>
      </c>
      <c r="D317" s="17" t="s">
        <v>26</v>
      </c>
      <c r="E317" s="18">
        <v>165.00000023999999</v>
      </c>
      <c r="F317" s="19">
        <f>IF(AND(ISNUMBER($C317),ISNUMBER($E317)),$C317*$E317,"")</f>
        <v>825.00000119999993</v>
      </c>
      <c r="G317" s="20"/>
      <c r="H317" s="245"/>
      <c r="I317" s="21"/>
      <c r="J317" s="21"/>
      <c r="K317" s="22"/>
    </row>
    <row r="318" spans="1:11" ht="49.5" customHeight="1" x14ac:dyDescent="0.25">
      <c r="A318" s="14" t="s">
        <v>286</v>
      </c>
      <c r="B318" s="15" t="s">
        <v>289</v>
      </c>
      <c r="C318" s="16">
        <v>4</v>
      </c>
      <c r="D318" s="17" t="s">
        <v>26</v>
      </c>
      <c r="E318" s="18">
        <v>89.999999639999999</v>
      </c>
      <c r="F318" s="19">
        <f>IF(AND(ISNUMBER($C318),ISNUMBER($E318)),$C318*$E318,"")</f>
        <v>359.99999855999999</v>
      </c>
      <c r="G318" s="20"/>
      <c r="H318" s="245"/>
      <c r="I318" s="21"/>
      <c r="J318" s="21"/>
      <c r="K318" s="22"/>
    </row>
    <row r="319" spans="1:11" ht="49.5" customHeight="1" x14ac:dyDescent="0.25">
      <c r="A319" s="14" t="s">
        <v>286</v>
      </c>
      <c r="B319" s="15" t="s">
        <v>290</v>
      </c>
      <c r="C319" s="16">
        <v>2</v>
      </c>
      <c r="D319" s="17" t="s">
        <v>26</v>
      </c>
      <c r="E319" s="18">
        <v>214.99999991999999</v>
      </c>
      <c r="F319" s="19">
        <f>IF(AND(ISNUMBER($C319),ISNUMBER($E319)),$C319*$E319,"")</f>
        <v>429.99999983999999</v>
      </c>
      <c r="G319" s="20"/>
      <c r="H319" s="245"/>
      <c r="I319" s="21"/>
      <c r="J319" s="21"/>
      <c r="K319" s="22"/>
    </row>
    <row r="320" spans="1:11" ht="18.75" customHeight="1" x14ac:dyDescent="0.25">
      <c r="A320" s="213" t="s">
        <v>28</v>
      </c>
      <c r="B320" s="213"/>
      <c r="C320" s="213"/>
      <c r="D320" s="213"/>
      <c r="E320" s="39"/>
      <c r="F320" s="40">
        <f>IF(SUM(F316:F319)=0,"-",SUM(F316:F319))</f>
        <v>4854.9999995999997</v>
      </c>
      <c r="G320" s="41"/>
      <c r="H320" s="204" t="str">
        <f>IF(SUM(H315:H319)=0,"-",SUM(H315:H319))</f>
        <v>-</v>
      </c>
      <c r="I320" s="40" t="str">
        <f>IF(SUM(I315:I319)=0,"-",SUM(I315:I319))</f>
        <v>-</v>
      </c>
      <c r="J320" s="40" t="str">
        <f>IF(SUM(J315:J319)=0,"-",SUM(J315:J319))</f>
        <v>-</v>
      </c>
      <c r="K320" s="42" t="str">
        <f>IF(SUM(K315:K319)=0,"-",SUM(K315:K319))</f>
        <v>-</v>
      </c>
    </row>
    <row r="321" spans="1:11" ht="6.75" customHeight="1" x14ac:dyDescent="0.25"/>
    <row r="322" spans="1:11" ht="18.75" customHeight="1" x14ac:dyDescent="0.25">
      <c r="A322" s="212" t="s">
        <v>291</v>
      </c>
      <c r="B322" s="212"/>
      <c r="C322" s="212"/>
      <c r="D322" s="212"/>
      <c r="E322" s="212"/>
      <c r="F322" s="212"/>
      <c r="G322" s="6"/>
      <c r="H322" s="7" t="s">
        <v>1626</v>
      </c>
      <c r="I322" s="8" t="s">
        <v>13</v>
      </c>
      <c r="J322" s="8" t="s">
        <v>14</v>
      </c>
      <c r="K322" s="9" t="s">
        <v>15</v>
      </c>
    </row>
    <row r="323" spans="1:11" ht="18.75" customHeight="1" thickBot="1" x14ac:dyDescent="0.3">
      <c r="A323" s="212"/>
      <c r="B323" s="212"/>
      <c r="C323" s="212"/>
      <c r="D323" s="212"/>
      <c r="E323" s="212"/>
      <c r="F323" s="212"/>
      <c r="G323" s="10"/>
      <c r="H323" s="11">
        <v>75121.240000000005</v>
      </c>
      <c r="I323" s="12"/>
      <c r="J323" s="12"/>
      <c r="K323" s="13"/>
    </row>
    <row r="324" spans="1:11" ht="78" customHeight="1" x14ac:dyDescent="0.25">
      <c r="A324" s="31" t="s">
        <v>270</v>
      </c>
      <c r="B324" s="15" t="s">
        <v>293</v>
      </c>
      <c r="C324" s="16">
        <v>10</v>
      </c>
      <c r="D324" s="17" t="s">
        <v>26</v>
      </c>
      <c r="E324" s="18">
        <v>6200.0000000640002</v>
      </c>
      <c r="F324" s="19">
        <f t="shared" ref="F324:F329" si="9">IF(AND(ISNUMBER($C324),ISNUMBER($E324)),$C324*$E324,"")</f>
        <v>62000.000000640001</v>
      </c>
      <c r="G324" s="20"/>
      <c r="H324" s="245" t="s">
        <v>1627</v>
      </c>
      <c r="I324" s="21"/>
      <c r="J324" s="21"/>
      <c r="K324" s="22"/>
    </row>
    <row r="325" spans="1:11" ht="49.5" customHeight="1" x14ac:dyDescent="0.25">
      <c r="A325" s="14" t="s">
        <v>292</v>
      </c>
      <c r="B325" s="15" t="s">
        <v>294</v>
      </c>
      <c r="C325" s="16">
        <v>3</v>
      </c>
      <c r="D325" s="17" t="s">
        <v>26</v>
      </c>
      <c r="E325" s="18">
        <v>4533.3333331200001</v>
      </c>
      <c r="F325" s="19">
        <f t="shared" si="9"/>
        <v>13599.999999359999</v>
      </c>
      <c r="G325" s="20"/>
      <c r="H325" s="245" t="s">
        <v>1627</v>
      </c>
      <c r="I325" s="21"/>
      <c r="J325" s="21"/>
      <c r="K325" s="22"/>
    </row>
    <row r="326" spans="1:11" ht="49.5" customHeight="1" x14ac:dyDescent="0.25">
      <c r="A326" s="14" t="s">
        <v>292</v>
      </c>
      <c r="B326" s="15" t="s">
        <v>295</v>
      </c>
      <c r="C326" s="16">
        <v>2</v>
      </c>
      <c r="D326" s="17" t="s">
        <v>26</v>
      </c>
      <c r="E326" s="18">
        <v>1050.0000003</v>
      </c>
      <c r="F326" s="19">
        <f t="shared" si="9"/>
        <v>2100.0000006</v>
      </c>
      <c r="G326" s="20"/>
      <c r="H326" s="245" t="s">
        <v>1627</v>
      </c>
      <c r="I326" s="21"/>
      <c r="J326" s="21"/>
      <c r="K326" s="22"/>
    </row>
    <row r="327" spans="1:11" ht="63.75" customHeight="1" x14ac:dyDescent="0.25">
      <c r="A327" s="23" t="s">
        <v>292</v>
      </c>
      <c r="B327" s="24" t="s">
        <v>296</v>
      </c>
      <c r="C327" s="25">
        <v>1</v>
      </c>
      <c r="D327" s="195" t="s">
        <v>19</v>
      </c>
      <c r="E327" s="27">
        <v>3500</v>
      </c>
      <c r="F327" s="28">
        <f t="shared" si="9"/>
        <v>3500</v>
      </c>
      <c r="G327" s="20"/>
      <c r="H327" s="200">
        <f>F327</f>
        <v>3500</v>
      </c>
      <c r="I327" s="29"/>
      <c r="J327" s="29"/>
      <c r="K327" s="30"/>
    </row>
    <row r="328" spans="1:11" ht="63.75" customHeight="1" x14ac:dyDescent="0.25">
      <c r="A328" s="31" t="s">
        <v>292</v>
      </c>
      <c r="B328" s="32" t="s">
        <v>297</v>
      </c>
      <c r="C328" s="33" t="s">
        <v>34</v>
      </c>
      <c r="D328" s="34" t="s">
        <v>35</v>
      </c>
      <c r="E328" s="35" t="s">
        <v>34</v>
      </c>
      <c r="F328" s="36" t="str">
        <f t="shared" si="9"/>
        <v/>
      </c>
      <c r="G328" s="20"/>
      <c r="H328" s="199" t="s">
        <v>1627</v>
      </c>
      <c r="I328" s="37"/>
      <c r="J328" s="37"/>
      <c r="K328" s="38"/>
    </row>
    <row r="329" spans="1:11" ht="63.75" customHeight="1" x14ac:dyDescent="0.25">
      <c r="A329" s="31" t="s">
        <v>292</v>
      </c>
      <c r="B329" s="32" t="s">
        <v>298</v>
      </c>
      <c r="C329" s="33">
        <v>15</v>
      </c>
      <c r="D329" s="34" t="s">
        <v>26</v>
      </c>
      <c r="E329" s="35">
        <v>150</v>
      </c>
      <c r="F329" s="36">
        <f t="shared" si="9"/>
        <v>2250</v>
      </c>
      <c r="G329" s="20"/>
      <c r="H329" s="199">
        <f>F329</f>
        <v>2250</v>
      </c>
      <c r="I329" s="37"/>
      <c r="J329" s="37"/>
      <c r="K329" s="38"/>
    </row>
    <row r="330" spans="1:11" ht="18.75" customHeight="1" x14ac:dyDescent="0.25">
      <c r="A330" s="217" t="s">
        <v>28</v>
      </c>
      <c r="B330" s="217"/>
      <c r="C330" s="217"/>
      <c r="D330" s="217"/>
      <c r="E330" s="168"/>
      <c r="F330" s="169">
        <f>IF(SUM(F324:F329)=0,"-",SUM(F324:F329))</f>
        <v>83450.000000600005</v>
      </c>
      <c r="G330" s="41"/>
      <c r="H330" s="249">
        <f>IF(SUM(H323:H329)=0,"-",SUM(H323:H329))</f>
        <v>80871.240000000005</v>
      </c>
      <c r="I330" s="169" t="str">
        <f>IF(SUM(I323:I329)=0,"-",SUM(I323:I329))</f>
        <v>-</v>
      </c>
      <c r="J330" s="169" t="str">
        <f>IF(SUM(J323:J329)=0,"-",SUM(J323:J329))</f>
        <v>-</v>
      </c>
      <c r="K330" s="170" t="str">
        <f>IF(SUM(K323:K329)=0,"-",SUM(K323:K329))</f>
        <v>-</v>
      </c>
    </row>
    <row r="331" spans="1:11" ht="6.75" customHeight="1" x14ac:dyDescent="0.25"/>
    <row r="332" spans="1:11" ht="18.75" customHeight="1" x14ac:dyDescent="0.25">
      <c r="A332" s="212" t="s">
        <v>299</v>
      </c>
      <c r="B332" s="212"/>
      <c r="C332" s="212"/>
      <c r="D332" s="212"/>
      <c r="E332" s="212"/>
      <c r="F332" s="212"/>
      <c r="G332" s="6"/>
      <c r="H332" s="7" t="s">
        <v>12</v>
      </c>
      <c r="I332" s="8" t="s">
        <v>13</v>
      </c>
      <c r="J332" s="8" t="s">
        <v>14</v>
      </c>
      <c r="K332" s="9" t="s">
        <v>15</v>
      </c>
    </row>
    <row r="333" spans="1:11" ht="18.75" customHeight="1" thickBot="1" x14ac:dyDescent="0.3">
      <c r="A333" s="212"/>
      <c r="B333" s="212"/>
      <c r="C333" s="212"/>
      <c r="D333" s="212"/>
      <c r="E333" s="212"/>
      <c r="F333" s="212"/>
      <c r="G333" s="10"/>
      <c r="H333" s="11"/>
      <c r="I333" s="12"/>
      <c r="J333" s="12"/>
      <c r="K333" s="13"/>
    </row>
    <row r="334" spans="1:11" ht="49.5" customHeight="1" x14ac:dyDescent="0.25">
      <c r="A334" s="171" t="s">
        <v>300</v>
      </c>
      <c r="B334" s="172" t="s">
        <v>301</v>
      </c>
      <c r="C334" s="173">
        <v>49.37</v>
      </c>
      <c r="D334" s="174" t="s">
        <v>23</v>
      </c>
      <c r="E334" s="175">
        <v>200</v>
      </c>
      <c r="F334" s="176">
        <f>IF(AND(ISNUMBER($C334),ISNUMBER($E334)),$C334*$E334,"")</f>
        <v>9874</v>
      </c>
      <c r="G334" s="165"/>
      <c r="H334" s="247"/>
      <c r="I334" s="166"/>
      <c r="J334" s="166"/>
      <c r="K334" s="167"/>
    </row>
    <row r="335" spans="1:11" ht="49.5" customHeight="1" x14ac:dyDescent="0.25">
      <c r="A335" s="31" t="s">
        <v>300</v>
      </c>
      <c r="B335" s="32" t="s">
        <v>302</v>
      </c>
      <c r="C335" s="33">
        <v>158.19</v>
      </c>
      <c r="D335" s="206" t="s">
        <v>23</v>
      </c>
      <c r="E335" s="35">
        <v>200</v>
      </c>
      <c r="F335" s="36">
        <f>IF(AND(ISNUMBER($C335),ISNUMBER($E335)),$C335*$E335,"")</f>
        <v>31638</v>
      </c>
      <c r="G335" s="20"/>
      <c r="H335" s="199"/>
      <c r="I335" s="37"/>
      <c r="J335" s="37"/>
      <c r="K335" s="38"/>
    </row>
    <row r="336" spans="1:11" ht="18.75" customHeight="1" x14ac:dyDescent="0.25">
      <c r="A336" s="213" t="s">
        <v>28</v>
      </c>
      <c r="B336" s="213"/>
      <c r="C336" s="213"/>
      <c r="D336" s="213"/>
      <c r="E336" s="39"/>
      <c r="F336" s="40">
        <f>IF(SUM(F334:F335)=0,"-",SUM(F334:F335))</f>
        <v>41512</v>
      </c>
      <c r="G336" s="41"/>
      <c r="H336" s="204" t="str">
        <f>IF(SUM(H333:H335)=0,"-",SUM(H333:H335))</f>
        <v>-</v>
      </c>
      <c r="I336" s="40" t="str">
        <f>IF(SUM(I333:I335)=0,"-",SUM(I333:I335))</f>
        <v>-</v>
      </c>
      <c r="J336" s="40" t="str">
        <f>IF(SUM(J333:J335)=0,"-",SUM(J333:J335))</f>
        <v>-</v>
      </c>
      <c r="K336" s="42" t="str">
        <f>IF(SUM(K333:K335)=0,"-",SUM(K333:K335))</f>
        <v>-</v>
      </c>
    </row>
    <row r="337" spans="1:11" ht="6.75" customHeight="1" x14ac:dyDescent="0.25"/>
    <row r="338" spans="1:11" ht="18.75" customHeight="1" x14ac:dyDescent="0.25">
      <c r="A338" s="212" t="s">
        <v>303</v>
      </c>
      <c r="B338" s="212"/>
      <c r="C338" s="212"/>
      <c r="D338" s="212"/>
      <c r="E338" s="212"/>
      <c r="F338" s="212"/>
      <c r="G338" s="6"/>
      <c r="H338" s="7" t="s">
        <v>12</v>
      </c>
      <c r="I338" s="8" t="s">
        <v>13</v>
      </c>
      <c r="J338" s="8" t="s">
        <v>14</v>
      </c>
      <c r="K338" s="9" t="s">
        <v>15</v>
      </c>
    </row>
    <row r="339" spans="1:11" ht="18.75" customHeight="1" x14ac:dyDescent="0.25">
      <c r="A339" s="212"/>
      <c r="B339" s="212"/>
      <c r="C339" s="212"/>
      <c r="D339" s="212"/>
      <c r="E339" s="212"/>
      <c r="F339" s="212"/>
      <c r="G339" s="10"/>
      <c r="H339" s="11"/>
      <c r="I339" s="12"/>
      <c r="J339" s="12"/>
      <c r="K339" s="13"/>
    </row>
    <row r="340" spans="1:11" ht="78" customHeight="1" x14ac:dyDescent="0.25">
      <c r="A340" s="14" t="s">
        <v>292</v>
      </c>
      <c r="B340" s="32" t="s">
        <v>305</v>
      </c>
      <c r="C340" s="33" t="s">
        <v>34</v>
      </c>
      <c r="D340" s="34" t="s">
        <v>35</v>
      </c>
      <c r="E340" s="35" t="s">
        <v>34</v>
      </c>
      <c r="F340" s="36" t="str">
        <f t="shared" ref="F340:F348" si="10">IF(AND(ISNUMBER($C340),ISNUMBER($E340)),$C340*$E340,"")</f>
        <v/>
      </c>
      <c r="G340" s="20"/>
      <c r="H340" s="199"/>
      <c r="I340" s="37"/>
      <c r="J340" s="37"/>
      <c r="K340" s="38"/>
    </row>
    <row r="341" spans="1:11" ht="63.75" customHeight="1" x14ac:dyDescent="0.25">
      <c r="A341" s="23" t="s">
        <v>304</v>
      </c>
      <c r="B341" s="24" t="s">
        <v>306</v>
      </c>
      <c r="C341" s="25" t="s">
        <v>34</v>
      </c>
      <c r="D341" s="164" t="s">
        <v>34</v>
      </c>
      <c r="E341" s="27" t="s">
        <v>34</v>
      </c>
      <c r="F341" s="28" t="str">
        <f t="shared" si="10"/>
        <v/>
      </c>
      <c r="G341" s="20"/>
      <c r="H341" s="200"/>
      <c r="I341" s="29"/>
      <c r="J341" s="29"/>
      <c r="K341" s="30"/>
    </row>
    <row r="342" spans="1:11" ht="49.5" customHeight="1" x14ac:dyDescent="0.25">
      <c r="A342" s="23" t="s">
        <v>304</v>
      </c>
      <c r="B342" s="24" t="s">
        <v>307</v>
      </c>
      <c r="C342" s="25" t="s">
        <v>34</v>
      </c>
      <c r="D342" s="26" t="s">
        <v>35</v>
      </c>
      <c r="E342" s="27" t="s">
        <v>34</v>
      </c>
      <c r="F342" s="28" t="str">
        <f t="shared" si="10"/>
        <v/>
      </c>
      <c r="G342" s="20"/>
      <c r="H342" s="200"/>
      <c r="I342" s="29"/>
      <c r="J342" s="29"/>
      <c r="K342" s="30"/>
    </row>
    <row r="343" spans="1:11" ht="36" customHeight="1" x14ac:dyDescent="0.25">
      <c r="A343" s="31" t="s">
        <v>304</v>
      </c>
      <c r="B343" s="32" t="s">
        <v>308</v>
      </c>
      <c r="C343" s="33" t="s">
        <v>34</v>
      </c>
      <c r="D343" s="34" t="s">
        <v>35</v>
      </c>
      <c r="E343" s="35" t="s">
        <v>34</v>
      </c>
      <c r="F343" s="36" t="str">
        <f t="shared" si="10"/>
        <v/>
      </c>
      <c r="G343" s="20"/>
      <c r="H343" s="199"/>
      <c r="I343" s="37"/>
      <c r="J343" s="37"/>
      <c r="K343" s="38"/>
    </row>
    <row r="344" spans="1:11" ht="63.75" customHeight="1" x14ac:dyDescent="0.25">
      <c r="A344" s="23" t="s">
        <v>304</v>
      </c>
      <c r="B344" s="24" t="s">
        <v>309</v>
      </c>
      <c r="C344" s="25" t="s">
        <v>34</v>
      </c>
      <c r="D344" s="26" t="s">
        <v>35</v>
      </c>
      <c r="E344" s="27" t="s">
        <v>34</v>
      </c>
      <c r="F344" s="28" t="str">
        <f t="shared" si="10"/>
        <v/>
      </c>
      <c r="G344" s="20"/>
      <c r="H344" s="200"/>
      <c r="I344" s="29"/>
      <c r="J344" s="29"/>
      <c r="K344" s="30"/>
    </row>
    <row r="345" spans="1:11" ht="63.75" customHeight="1" x14ac:dyDescent="0.25">
      <c r="A345" s="31" t="s">
        <v>304</v>
      </c>
      <c r="B345" s="32" t="s">
        <v>310</v>
      </c>
      <c r="C345" s="33" t="s">
        <v>34</v>
      </c>
      <c r="D345" s="34" t="s">
        <v>35</v>
      </c>
      <c r="E345" s="35" t="s">
        <v>34</v>
      </c>
      <c r="F345" s="36" t="str">
        <f t="shared" si="10"/>
        <v/>
      </c>
      <c r="G345" s="20"/>
      <c r="H345" s="199"/>
      <c r="I345" s="37"/>
      <c r="J345" s="37"/>
      <c r="K345" s="38"/>
    </row>
    <row r="346" spans="1:11" ht="49.5" customHeight="1" x14ac:dyDescent="0.25">
      <c r="A346" s="23" t="s">
        <v>304</v>
      </c>
      <c r="B346" s="24" t="s">
        <v>311</v>
      </c>
      <c r="C346" s="25" t="s">
        <v>34</v>
      </c>
      <c r="D346" s="26" t="s">
        <v>35</v>
      </c>
      <c r="E346" s="27" t="s">
        <v>34</v>
      </c>
      <c r="F346" s="28" t="str">
        <f t="shared" si="10"/>
        <v/>
      </c>
      <c r="G346" s="20"/>
      <c r="H346" s="200"/>
      <c r="I346" s="29"/>
      <c r="J346" s="29"/>
      <c r="K346" s="30"/>
    </row>
    <row r="347" spans="1:11" ht="36" customHeight="1" x14ac:dyDescent="0.25">
      <c r="A347" s="31" t="s">
        <v>304</v>
      </c>
      <c r="B347" s="32" t="s">
        <v>312</v>
      </c>
      <c r="C347" s="33" t="s">
        <v>34</v>
      </c>
      <c r="D347" s="34" t="s">
        <v>35</v>
      </c>
      <c r="E347" s="35" t="s">
        <v>34</v>
      </c>
      <c r="F347" s="36" t="str">
        <f t="shared" si="10"/>
        <v/>
      </c>
      <c r="G347" s="20"/>
      <c r="H347" s="199"/>
      <c r="I347" s="37"/>
      <c r="J347" s="37"/>
      <c r="K347" s="38"/>
    </row>
    <row r="348" spans="1:11" ht="36" customHeight="1" x14ac:dyDescent="0.25">
      <c r="A348" s="31" t="s">
        <v>304</v>
      </c>
      <c r="B348" s="32" t="s">
        <v>313</v>
      </c>
      <c r="C348" s="33">
        <v>1</v>
      </c>
      <c r="D348" s="34" t="s">
        <v>19</v>
      </c>
      <c r="E348" s="35">
        <v>1065819.8400000001</v>
      </c>
      <c r="F348" s="36">
        <f t="shared" si="10"/>
        <v>1065819.8400000001</v>
      </c>
      <c r="G348" s="20"/>
      <c r="H348" s="199"/>
      <c r="I348" s="37"/>
      <c r="J348" s="37"/>
      <c r="K348" s="38"/>
    </row>
    <row r="349" spans="1:11" ht="36" customHeight="1" x14ac:dyDescent="0.25">
      <c r="A349" s="31" t="s">
        <v>304</v>
      </c>
      <c r="B349" s="32" t="s">
        <v>314</v>
      </c>
      <c r="C349" s="33">
        <v>1</v>
      </c>
      <c r="D349" s="34" t="s">
        <v>26</v>
      </c>
      <c r="E349" s="35">
        <v>19660</v>
      </c>
      <c r="F349" s="36">
        <f>IF(AND(ISNUMBER($C349),ISNUMBER($E349)),$C349*$E349,"")</f>
        <v>19660</v>
      </c>
      <c r="G349" s="20"/>
      <c r="H349" s="199">
        <v>19660</v>
      </c>
      <c r="I349" s="37"/>
      <c r="J349" s="37"/>
      <c r="K349" s="38"/>
    </row>
    <row r="350" spans="1:11" ht="18.75" customHeight="1" x14ac:dyDescent="0.25">
      <c r="A350" s="217" t="s">
        <v>28</v>
      </c>
      <c r="B350" s="217"/>
      <c r="C350" s="217"/>
      <c r="D350" s="217"/>
      <c r="E350" s="168"/>
      <c r="F350" s="169">
        <f>IF(SUM(F340:F349)=0,"-",SUM(F340:F349))</f>
        <v>1085479.8400000001</v>
      </c>
      <c r="G350" s="41"/>
      <c r="H350" s="249">
        <f>IF(SUM(H339:H349)=0,"-",SUM(H339:H349))</f>
        <v>19660</v>
      </c>
      <c r="I350" s="169" t="str">
        <f>IF(SUM(I339:I349)=0,"-",SUM(I339:I349))</f>
        <v>-</v>
      </c>
      <c r="J350" s="169" t="str">
        <f>IF(SUM(J339:J349)=0,"-",SUM(J339:J349))</f>
        <v>-</v>
      </c>
      <c r="K350" s="170" t="str">
        <f>IF(SUM(K339:K349)=0,"-",SUM(K339:K349))</f>
        <v>-</v>
      </c>
    </row>
    <row r="351" spans="1:11" ht="6.75" customHeight="1" x14ac:dyDescent="0.25"/>
    <row r="352" spans="1:11" ht="18.75" customHeight="1" x14ac:dyDescent="0.25">
      <c r="A352" s="212" t="s">
        <v>315</v>
      </c>
      <c r="B352" s="212"/>
      <c r="C352" s="212"/>
      <c r="D352" s="212"/>
      <c r="E352" s="212"/>
      <c r="F352" s="212"/>
      <c r="G352" s="6"/>
      <c r="H352" s="287" t="s">
        <v>1645</v>
      </c>
      <c r="I352" s="8" t="s">
        <v>13</v>
      </c>
      <c r="J352" s="8" t="s">
        <v>14</v>
      </c>
      <c r="K352" s="9" t="s">
        <v>15</v>
      </c>
    </row>
    <row r="353" spans="1:11" ht="18.75" customHeight="1" thickBot="1" x14ac:dyDescent="0.3">
      <c r="A353" s="212"/>
      <c r="B353" s="212"/>
      <c r="C353" s="212"/>
      <c r="D353" s="212"/>
      <c r="E353" s="212"/>
      <c r="F353" s="212"/>
      <c r="G353" s="10"/>
      <c r="H353" s="11">
        <v>106208.48</v>
      </c>
      <c r="I353" s="12"/>
      <c r="J353" s="12"/>
      <c r="K353" s="13"/>
    </row>
    <row r="354" spans="1:11" ht="49.5" customHeight="1" x14ac:dyDescent="0.25">
      <c r="A354" s="31" t="s">
        <v>316</v>
      </c>
      <c r="B354" s="32" t="s">
        <v>317</v>
      </c>
      <c r="C354" s="33" t="s">
        <v>34</v>
      </c>
      <c r="D354" s="34" t="s">
        <v>35</v>
      </c>
      <c r="E354" s="35" t="s">
        <v>34</v>
      </c>
      <c r="F354" s="36" t="str">
        <f t="shared" ref="F354:F370" si="11">IF(AND(ISNUMBER($C354),ISNUMBER($E354)),$C354*$E354,"")</f>
        <v/>
      </c>
      <c r="G354" s="20"/>
      <c r="H354" s="199" t="s">
        <v>1627</v>
      </c>
      <c r="I354" s="37"/>
      <c r="J354" s="37"/>
      <c r="K354" s="38"/>
    </row>
    <row r="355" spans="1:11" ht="63.75" customHeight="1" x14ac:dyDescent="0.25">
      <c r="A355" s="31" t="s">
        <v>304</v>
      </c>
      <c r="B355" s="32" t="s">
        <v>319</v>
      </c>
      <c r="C355" s="33" t="s">
        <v>34</v>
      </c>
      <c r="D355" s="34" t="s">
        <v>35</v>
      </c>
      <c r="E355" s="35" t="s">
        <v>34</v>
      </c>
      <c r="F355" s="36" t="str">
        <f t="shared" si="11"/>
        <v/>
      </c>
      <c r="G355" s="20"/>
      <c r="H355" s="199" t="str">
        <f>F355</f>
        <v/>
      </c>
      <c r="I355" s="37"/>
      <c r="J355" s="37"/>
      <c r="K355" s="38"/>
    </row>
    <row r="356" spans="1:11" ht="49.5" customHeight="1" x14ac:dyDescent="0.25">
      <c r="A356" s="23" t="s">
        <v>318</v>
      </c>
      <c r="B356" s="24" t="s">
        <v>320</v>
      </c>
      <c r="C356" s="25" t="s">
        <v>34</v>
      </c>
      <c r="D356" s="26" t="s">
        <v>35</v>
      </c>
      <c r="E356" s="27" t="s">
        <v>34</v>
      </c>
      <c r="F356" s="28" t="str">
        <f t="shared" si="11"/>
        <v/>
      </c>
      <c r="G356" s="20"/>
      <c r="H356" s="200" t="str">
        <f>F356</f>
        <v/>
      </c>
      <c r="I356" s="29"/>
      <c r="J356" s="29"/>
      <c r="K356" s="30"/>
    </row>
    <row r="357" spans="1:11" ht="49.5" customHeight="1" x14ac:dyDescent="0.25">
      <c r="A357" s="31" t="s">
        <v>304</v>
      </c>
      <c r="B357" s="32" t="s">
        <v>1612</v>
      </c>
      <c r="C357" s="33">
        <v>1</v>
      </c>
      <c r="D357" s="34" t="s">
        <v>19</v>
      </c>
      <c r="E357" s="35">
        <v>12000</v>
      </c>
      <c r="F357" s="36">
        <f t="shared" si="11"/>
        <v>12000</v>
      </c>
      <c r="G357" s="20"/>
      <c r="H357" s="199">
        <f>F357</f>
        <v>12000</v>
      </c>
      <c r="I357" s="37"/>
      <c r="J357" s="37"/>
      <c r="K357" s="38"/>
    </row>
    <row r="358" spans="1:11" ht="63.75" customHeight="1" x14ac:dyDescent="0.25">
      <c r="A358" s="14" t="s">
        <v>323</v>
      </c>
      <c r="B358" s="15" t="s">
        <v>324</v>
      </c>
      <c r="C358" s="16">
        <v>1</v>
      </c>
      <c r="D358" s="17" t="s">
        <v>26</v>
      </c>
      <c r="E358" s="18">
        <v>1500</v>
      </c>
      <c r="F358" s="19">
        <f t="shared" si="11"/>
        <v>1500</v>
      </c>
      <c r="G358" s="20"/>
      <c r="H358" s="245" t="s">
        <v>1627</v>
      </c>
      <c r="I358" s="21"/>
      <c r="J358" s="21"/>
      <c r="K358" s="22"/>
    </row>
    <row r="359" spans="1:11" ht="63.75" customHeight="1" x14ac:dyDescent="0.25">
      <c r="A359" s="14" t="s">
        <v>323</v>
      </c>
      <c r="B359" s="15" t="s">
        <v>325</v>
      </c>
      <c r="C359" s="16">
        <v>1</v>
      </c>
      <c r="D359" s="17" t="s">
        <v>26</v>
      </c>
      <c r="E359" s="18">
        <v>3500</v>
      </c>
      <c r="F359" s="19">
        <f t="shared" si="11"/>
        <v>3500</v>
      </c>
      <c r="G359" s="20"/>
      <c r="H359" s="245" t="s">
        <v>1627</v>
      </c>
      <c r="I359" s="21"/>
      <c r="J359" s="21"/>
      <c r="K359" s="22"/>
    </row>
    <row r="360" spans="1:11" ht="63.75" customHeight="1" x14ac:dyDescent="0.25">
      <c r="A360" s="14" t="s">
        <v>323</v>
      </c>
      <c r="B360" s="15" t="s">
        <v>326</v>
      </c>
      <c r="C360" s="16">
        <v>1</v>
      </c>
      <c r="D360" s="17" t="s">
        <v>26</v>
      </c>
      <c r="E360" s="18">
        <v>1200</v>
      </c>
      <c r="F360" s="19">
        <f t="shared" si="11"/>
        <v>1200</v>
      </c>
      <c r="G360" s="20"/>
      <c r="H360" s="245" t="s">
        <v>1627</v>
      </c>
      <c r="I360" s="21"/>
      <c r="J360" s="21"/>
      <c r="K360" s="22"/>
    </row>
    <row r="361" spans="1:11" ht="49.5" customHeight="1" x14ac:dyDescent="0.25">
      <c r="A361" s="31" t="s">
        <v>327</v>
      </c>
      <c r="B361" s="32" t="s">
        <v>328</v>
      </c>
      <c r="C361" s="33">
        <v>1</v>
      </c>
      <c r="D361" s="34" t="s">
        <v>19</v>
      </c>
      <c r="E361" s="35">
        <v>15000</v>
      </c>
      <c r="F361" s="36">
        <f t="shared" si="11"/>
        <v>15000</v>
      </c>
      <c r="G361" s="20"/>
      <c r="H361" s="201">
        <f>F361</f>
        <v>15000</v>
      </c>
      <c r="I361" s="37"/>
      <c r="J361" s="37"/>
      <c r="K361" s="38"/>
    </row>
    <row r="362" spans="1:11" ht="49.5" customHeight="1" x14ac:dyDescent="0.25">
      <c r="A362" s="31" t="s">
        <v>327</v>
      </c>
      <c r="B362" s="32" t="s">
        <v>329</v>
      </c>
      <c r="C362" s="33">
        <v>4</v>
      </c>
      <c r="D362" s="34" t="s">
        <v>26</v>
      </c>
      <c r="E362" s="35">
        <v>700</v>
      </c>
      <c r="F362" s="36">
        <f t="shared" si="11"/>
        <v>2800</v>
      </c>
      <c r="G362" s="20"/>
      <c r="H362" s="201">
        <f>2*E362</f>
        <v>1400</v>
      </c>
      <c r="I362" s="37"/>
      <c r="J362" s="37"/>
      <c r="K362" s="38"/>
    </row>
    <row r="363" spans="1:11" ht="49.5" customHeight="1" x14ac:dyDescent="0.25">
      <c r="A363" s="31" t="s">
        <v>327</v>
      </c>
      <c r="B363" s="32" t="s">
        <v>330</v>
      </c>
      <c r="C363" s="33">
        <v>1</v>
      </c>
      <c r="D363" s="34" t="s">
        <v>26</v>
      </c>
      <c r="E363" s="35">
        <v>700</v>
      </c>
      <c r="F363" s="36">
        <f t="shared" si="11"/>
        <v>700</v>
      </c>
      <c r="G363" s="20"/>
      <c r="H363" s="201">
        <f>F363</f>
        <v>700</v>
      </c>
      <c r="I363" s="37"/>
      <c r="J363" s="37"/>
      <c r="K363" s="38"/>
    </row>
    <row r="364" spans="1:11" ht="49.5" customHeight="1" x14ac:dyDescent="0.25">
      <c r="A364" s="31" t="s">
        <v>327</v>
      </c>
      <c r="B364" s="32" t="s">
        <v>331</v>
      </c>
      <c r="C364" s="33">
        <v>6</v>
      </c>
      <c r="D364" s="34" t="s">
        <v>26</v>
      </c>
      <c r="E364" s="35">
        <v>1500</v>
      </c>
      <c r="F364" s="36">
        <f t="shared" si="11"/>
        <v>9000</v>
      </c>
      <c r="G364" s="20"/>
      <c r="H364" s="199" t="s">
        <v>1627</v>
      </c>
      <c r="I364" s="37"/>
      <c r="J364" s="37"/>
      <c r="K364" s="38"/>
    </row>
    <row r="365" spans="1:11" ht="49.5" customHeight="1" x14ac:dyDescent="0.25">
      <c r="A365" s="31" t="s">
        <v>327</v>
      </c>
      <c r="B365" s="32" t="s">
        <v>332</v>
      </c>
      <c r="C365" s="33">
        <v>1</v>
      </c>
      <c r="D365" s="34" t="s">
        <v>26</v>
      </c>
      <c r="E365" s="35">
        <v>600</v>
      </c>
      <c r="F365" s="36">
        <f t="shared" si="11"/>
        <v>600</v>
      </c>
      <c r="G365" s="20"/>
      <c r="H365" s="201">
        <f>F365</f>
        <v>600</v>
      </c>
      <c r="I365" s="37"/>
      <c r="J365" s="37"/>
      <c r="K365" s="38"/>
    </row>
    <row r="366" spans="1:11" ht="49.5" customHeight="1" x14ac:dyDescent="0.25">
      <c r="A366" s="31" t="s">
        <v>327</v>
      </c>
      <c r="B366" s="32" t="s">
        <v>333</v>
      </c>
      <c r="C366" s="33">
        <v>1</v>
      </c>
      <c r="D366" s="34" t="s">
        <v>26</v>
      </c>
      <c r="E366" s="35">
        <v>8000</v>
      </c>
      <c r="F366" s="36">
        <f t="shared" si="11"/>
        <v>8000</v>
      </c>
      <c r="G366" s="20"/>
      <c r="H366" s="201">
        <f>F366</f>
        <v>8000</v>
      </c>
      <c r="I366" s="37"/>
      <c r="J366" s="37"/>
      <c r="K366" s="38"/>
    </row>
    <row r="367" spans="1:11" ht="49.5" customHeight="1" x14ac:dyDescent="0.25">
      <c r="A367" s="31" t="s">
        <v>327</v>
      </c>
      <c r="B367" s="32" t="s">
        <v>334</v>
      </c>
      <c r="C367" s="33">
        <v>3</v>
      </c>
      <c r="D367" s="34" t="s">
        <v>26</v>
      </c>
      <c r="E367" s="35">
        <v>600</v>
      </c>
      <c r="F367" s="36">
        <f t="shared" si="11"/>
        <v>1800</v>
      </c>
      <c r="G367" s="20"/>
      <c r="H367" s="199" t="s">
        <v>1627</v>
      </c>
      <c r="I367" s="37"/>
      <c r="J367" s="37"/>
      <c r="K367" s="38"/>
    </row>
    <row r="368" spans="1:11" ht="49.5" customHeight="1" x14ac:dyDescent="0.25">
      <c r="A368" s="31" t="s">
        <v>327</v>
      </c>
      <c r="B368" s="32" t="s">
        <v>335</v>
      </c>
      <c r="C368" s="33">
        <v>1</v>
      </c>
      <c r="D368" s="34" t="s">
        <v>26</v>
      </c>
      <c r="E368" s="35">
        <v>1800</v>
      </c>
      <c r="F368" s="36">
        <f t="shared" si="11"/>
        <v>1800</v>
      </c>
      <c r="G368" s="20"/>
      <c r="H368" s="201">
        <f>F368</f>
        <v>1800</v>
      </c>
      <c r="I368" s="37"/>
      <c r="J368" s="37"/>
      <c r="K368" s="38"/>
    </row>
    <row r="369" spans="1:11" ht="49.5" customHeight="1" x14ac:dyDescent="0.25">
      <c r="A369" s="31" t="s">
        <v>327</v>
      </c>
      <c r="B369" s="32" t="s">
        <v>336</v>
      </c>
      <c r="C369" s="33">
        <v>1</v>
      </c>
      <c r="D369" s="34" t="s">
        <v>26</v>
      </c>
      <c r="E369" s="35">
        <v>5000</v>
      </c>
      <c r="F369" s="36">
        <f t="shared" si="11"/>
        <v>5000</v>
      </c>
      <c r="G369" s="20"/>
      <c r="H369" s="201">
        <f>F369</f>
        <v>5000</v>
      </c>
      <c r="I369" s="37"/>
      <c r="J369" s="37"/>
      <c r="K369" s="38"/>
    </row>
    <row r="370" spans="1:11" ht="49.5" customHeight="1" thickBot="1" x14ac:dyDescent="0.3">
      <c r="A370" s="31" t="s">
        <v>327</v>
      </c>
      <c r="B370" s="32" t="s">
        <v>337</v>
      </c>
      <c r="C370" s="33">
        <v>1</v>
      </c>
      <c r="D370" s="34" t="s">
        <v>26</v>
      </c>
      <c r="E370" s="35">
        <v>2400</v>
      </c>
      <c r="F370" s="36">
        <f t="shared" si="11"/>
        <v>2400</v>
      </c>
      <c r="G370" s="20"/>
      <c r="H370" s="201">
        <f>F370</f>
        <v>2400</v>
      </c>
      <c r="I370" s="37"/>
      <c r="J370" s="37"/>
      <c r="K370" s="38"/>
    </row>
    <row r="371" spans="1:11" ht="18.75" customHeight="1" thickBot="1" x14ac:dyDescent="0.3">
      <c r="A371" s="213" t="s">
        <v>28</v>
      </c>
      <c r="B371" s="213"/>
      <c r="C371" s="213"/>
      <c r="D371" s="213"/>
      <c r="E371" s="39"/>
      <c r="F371" s="40">
        <f>IF(SUM(F354:F370)=0,"-",SUM(F354:F370))</f>
        <v>65300</v>
      </c>
      <c r="G371" s="41"/>
      <c r="H371" s="204">
        <f>IF(SUM(H353:H370)=0,"-",SUM(H353:H370))</f>
        <v>153108.47999999998</v>
      </c>
      <c r="I371" s="40" t="str">
        <f>IF(SUM(I353:I370)=0,"-",SUM(I353:I370))</f>
        <v>-</v>
      </c>
      <c r="J371" s="40" t="str">
        <f>IF(SUM(J353:J370)=0,"-",SUM(J353:J370))</f>
        <v>-</v>
      </c>
      <c r="K371" s="42" t="str">
        <f>IF(SUM(K353:K370)=0,"-",SUM(K353:K370))</f>
        <v>-</v>
      </c>
    </row>
    <row r="372" spans="1:11" ht="6.75" customHeight="1" thickBot="1" x14ac:dyDescent="0.3"/>
    <row r="373" spans="1:11" ht="18.75" customHeight="1" x14ac:dyDescent="0.25">
      <c r="A373" s="286" t="s">
        <v>1642</v>
      </c>
      <c r="B373" s="218"/>
      <c r="C373" s="218"/>
      <c r="D373" s="218"/>
      <c r="E373" s="218"/>
      <c r="F373" s="219"/>
      <c r="G373" s="177"/>
      <c r="H373" s="7" t="s">
        <v>12</v>
      </c>
      <c r="I373" s="8" t="s">
        <v>13</v>
      </c>
      <c r="J373" s="8" t="s">
        <v>14</v>
      </c>
      <c r="K373" s="9" t="s">
        <v>15</v>
      </c>
    </row>
    <row r="374" spans="1:11" ht="18.75" customHeight="1" thickBot="1" x14ac:dyDescent="0.3">
      <c r="A374" s="220"/>
      <c r="B374" s="221"/>
      <c r="C374" s="221"/>
      <c r="D374" s="221"/>
      <c r="E374" s="221"/>
      <c r="F374" s="222"/>
      <c r="G374" s="178"/>
      <c r="H374" s="11"/>
      <c r="I374" s="12"/>
      <c r="J374" s="12"/>
      <c r="K374" s="13"/>
    </row>
    <row r="375" spans="1:11" ht="21.75" customHeight="1" x14ac:dyDescent="0.25">
      <c r="A375" s="179" t="s">
        <v>339</v>
      </c>
      <c r="B375" s="180" t="s">
        <v>66</v>
      </c>
      <c r="C375" s="181">
        <v>1</v>
      </c>
      <c r="D375" s="182" t="s">
        <v>19</v>
      </c>
      <c r="E375" s="183">
        <v>2500</v>
      </c>
      <c r="F375" s="184">
        <f t="shared" ref="F375:F386" si="12">IF(AND(ISNUMBER($C375),ISNUMBER($E375)),$C375*$E375,"")</f>
        <v>2500</v>
      </c>
      <c r="G375" s="20"/>
      <c r="H375" s="199"/>
      <c r="I375" s="37"/>
      <c r="J375" s="37"/>
      <c r="K375" s="38"/>
    </row>
    <row r="376" spans="1:11" ht="49.5" customHeight="1" x14ac:dyDescent="0.25">
      <c r="A376" s="31" t="s">
        <v>340</v>
      </c>
      <c r="B376" s="32" t="s">
        <v>1608</v>
      </c>
      <c r="C376" s="33" t="s">
        <v>34</v>
      </c>
      <c r="D376" s="34" t="s">
        <v>35</v>
      </c>
      <c r="E376" s="35" t="s">
        <v>34</v>
      </c>
      <c r="F376" s="36" t="str">
        <f t="shared" si="12"/>
        <v/>
      </c>
      <c r="G376" s="20"/>
      <c r="H376" s="199"/>
      <c r="I376" s="37"/>
      <c r="J376" s="37"/>
      <c r="K376" s="38"/>
    </row>
    <row r="377" spans="1:11" ht="49.5" customHeight="1" x14ac:dyDescent="0.25">
      <c r="A377" s="23" t="s">
        <v>340</v>
      </c>
      <c r="B377" s="24" t="s">
        <v>1607</v>
      </c>
      <c r="C377" s="25">
        <v>1</v>
      </c>
      <c r="D377" s="26" t="s">
        <v>19</v>
      </c>
      <c r="E377" s="27">
        <v>15000</v>
      </c>
      <c r="F377" s="28">
        <f t="shared" si="12"/>
        <v>15000</v>
      </c>
      <c r="G377" s="20"/>
      <c r="H377" s="200"/>
      <c r="I377" s="29"/>
      <c r="J377" s="29"/>
      <c r="K377" s="30"/>
    </row>
    <row r="378" spans="1:11" ht="36" customHeight="1" x14ac:dyDescent="0.25">
      <c r="A378" s="31" t="s">
        <v>340</v>
      </c>
      <c r="B378" s="32" t="s">
        <v>341</v>
      </c>
      <c r="C378" s="33" t="s">
        <v>34</v>
      </c>
      <c r="D378" s="34" t="s">
        <v>35</v>
      </c>
      <c r="E378" s="35" t="s">
        <v>34</v>
      </c>
      <c r="F378" s="36" t="str">
        <f t="shared" si="12"/>
        <v/>
      </c>
      <c r="G378" s="20"/>
      <c r="H378" s="199"/>
      <c r="I378" s="37"/>
      <c r="J378" s="37"/>
      <c r="K378" s="38"/>
    </row>
    <row r="379" spans="1:11" ht="49.5" customHeight="1" x14ac:dyDescent="0.25">
      <c r="A379" s="23" t="s">
        <v>340</v>
      </c>
      <c r="B379" s="24" t="s">
        <v>342</v>
      </c>
      <c r="C379" s="25" t="s">
        <v>34</v>
      </c>
      <c r="D379" s="26" t="s">
        <v>35</v>
      </c>
      <c r="E379" s="27" t="s">
        <v>34</v>
      </c>
      <c r="F379" s="28" t="str">
        <f t="shared" si="12"/>
        <v/>
      </c>
      <c r="G379" s="20"/>
      <c r="H379" s="200"/>
      <c r="I379" s="29"/>
      <c r="J379" s="29"/>
      <c r="K379" s="30"/>
    </row>
    <row r="380" spans="1:11" ht="49.5" customHeight="1" x14ac:dyDescent="0.25">
      <c r="A380" s="31" t="s">
        <v>340</v>
      </c>
      <c r="B380" s="32" t="s">
        <v>1609</v>
      </c>
      <c r="C380" s="33">
        <v>1</v>
      </c>
      <c r="D380" s="34" t="s">
        <v>19</v>
      </c>
      <c r="E380" s="35">
        <v>12000</v>
      </c>
      <c r="F380" s="36">
        <f t="shared" si="12"/>
        <v>12000</v>
      </c>
      <c r="G380" s="20"/>
      <c r="H380" s="199"/>
      <c r="I380" s="37"/>
      <c r="J380" s="37"/>
      <c r="K380" s="38"/>
    </row>
    <row r="381" spans="1:11" ht="49.5" customHeight="1" x14ac:dyDescent="0.25">
      <c r="A381" s="31" t="s">
        <v>340</v>
      </c>
      <c r="B381" s="32" t="s">
        <v>343</v>
      </c>
      <c r="C381" s="33">
        <v>7</v>
      </c>
      <c r="D381" s="34" t="s">
        <v>26</v>
      </c>
      <c r="E381" s="35">
        <v>300</v>
      </c>
      <c r="F381" s="36">
        <f t="shared" si="12"/>
        <v>2100</v>
      </c>
      <c r="G381" s="20"/>
      <c r="H381" s="199"/>
      <c r="I381" s="37"/>
      <c r="J381" s="37"/>
      <c r="K381" s="38"/>
    </row>
    <row r="382" spans="1:11" ht="49.5" customHeight="1" x14ac:dyDescent="0.25">
      <c r="A382" s="31" t="s">
        <v>340</v>
      </c>
      <c r="B382" s="32" t="s">
        <v>344</v>
      </c>
      <c r="C382" s="33">
        <v>1</v>
      </c>
      <c r="D382" s="34" t="s">
        <v>26</v>
      </c>
      <c r="E382" s="35">
        <v>600</v>
      </c>
      <c r="F382" s="36">
        <f t="shared" si="12"/>
        <v>600</v>
      </c>
      <c r="G382" s="20"/>
      <c r="H382" s="199"/>
      <c r="I382" s="37"/>
      <c r="J382" s="37"/>
      <c r="K382" s="38"/>
    </row>
    <row r="383" spans="1:11" ht="49.5" customHeight="1" x14ac:dyDescent="0.25">
      <c r="A383" s="31" t="s">
        <v>340</v>
      </c>
      <c r="B383" s="32" t="s">
        <v>345</v>
      </c>
      <c r="C383" s="33">
        <v>1</v>
      </c>
      <c r="D383" s="34" t="s">
        <v>26</v>
      </c>
      <c r="E383" s="35">
        <v>600</v>
      </c>
      <c r="F383" s="36">
        <f t="shared" si="12"/>
        <v>600</v>
      </c>
      <c r="G383" s="20"/>
      <c r="H383" s="199"/>
      <c r="I383" s="37"/>
      <c r="J383" s="37"/>
      <c r="K383" s="38"/>
    </row>
    <row r="384" spans="1:11" ht="49.5" customHeight="1" x14ac:dyDescent="0.25">
      <c r="A384" s="31" t="s">
        <v>340</v>
      </c>
      <c r="B384" s="32" t="s">
        <v>346</v>
      </c>
      <c r="C384" s="33">
        <v>1</v>
      </c>
      <c r="D384" s="34" t="s">
        <v>26</v>
      </c>
      <c r="E384" s="35">
        <v>2200</v>
      </c>
      <c r="F384" s="36">
        <f t="shared" si="12"/>
        <v>2200</v>
      </c>
      <c r="G384" s="20"/>
      <c r="H384" s="199"/>
      <c r="I384" s="37"/>
      <c r="J384" s="37"/>
      <c r="K384" s="38"/>
    </row>
    <row r="385" spans="1:11" ht="49.5" customHeight="1" x14ac:dyDescent="0.25">
      <c r="A385" s="31" t="s">
        <v>340</v>
      </c>
      <c r="B385" s="32" t="s">
        <v>347</v>
      </c>
      <c r="C385" s="33">
        <v>1</v>
      </c>
      <c r="D385" s="34" t="s">
        <v>26</v>
      </c>
      <c r="E385" s="35">
        <v>160000</v>
      </c>
      <c r="F385" s="36">
        <f t="shared" si="12"/>
        <v>160000</v>
      </c>
      <c r="G385" s="20"/>
      <c r="H385" s="199"/>
      <c r="I385" s="37"/>
      <c r="J385" s="37"/>
      <c r="K385" s="38"/>
    </row>
    <row r="386" spans="1:11" ht="49.5" customHeight="1" x14ac:dyDescent="0.25">
      <c r="A386" s="31" t="s">
        <v>340</v>
      </c>
      <c r="B386" s="32" t="s">
        <v>1610</v>
      </c>
      <c r="C386" s="33">
        <v>2</v>
      </c>
      <c r="D386" s="34" t="s">
        <v>26</v>
      </c>
      <c r="E386" s="35">
        <v>600</v>
      </c>
      <c r="F386" s="36">
        <f t="shared" si="12"/>
        <v>1200</v>
      </c>
      <c r="G386" s="20"/>
      <c r="H386" s="199"/>
      <c r="I386" s="37"/>
      <c r="J386" s="37"/>
      <c r="K386" s="38"/>
    </row>
    <row r="387" spans="1:11" ht="18.75" customHeight="1" x14ac:dyDescent="0.25">
      <c r="A387" s="213" t="s">
        <v>28</v>
      </c>
      <c r="B387" s="213"/>
      <c r="C387" s="213"/>
      <c r="D387" s="213"/>
      <c r="E387" s="39"/>
      <c r="F387" s="40">
        <f>IF(SUM(F375:F386)=0,"-",SUM(F375:F386))</f>
        <v>196200</v>
      </c>
      <c r="G387" s="41"/>
      <c r="H387" s="204" t="str">
        <f>IF(SUM(H374:H386)=0,"-",SUM(H374:H386))</f>
        <v>-</v>
      </c>
      <c r="I387" s="40" t="str">
        <f>IF(SUM(I374:I386)=0,"-",SUM(I374:I386))</f>
        <v>-</v>
      </c>
      <c r="J387" s="40" t="str">
        <f>IF(SUM(J374:J386)=0,"-",SUM(J374:J386))</f>
        <v>-</v>
      </c>
      <c r="K387" s="42" t="str">
        <f>IF(SUM(K374:K386)=0,"-",SUM(K374:K386))</f>
        <v>-</v>
      </c>
    </row>
    <row r="388" spans="1:11" ht="6.75" customHeight="1" thickBot="1" x14ac:dyDescent="0.3"/>
    <row r="389" spans="1:11" ht="18.75" customHeight="1" thickBot="1" x14ac:dyDescent="0.3">
      <c r="A389" s="212" t="s">
        <v>350</v>
      </c>
      <c r="B389" s="212"/>
      <c r="C389" s="212"/>
      <c r="D389" s="212"/>
      <c r="E389" s="212"/>
      <c r="F389" s="212"/>
      <c r="G389" s="6"/>
      <c r="H389" s="7" t="s">
        <v>12</v>
      </c>
      <c r="I389" s="8" t="s">
        <v>13</v>
      </c>
      <c r="J389" s="8" t="s">
        <v>14</v>
      </c>
      <c r="K389" s="9" t="s">
        <v>15</v>
      </c>
    </row>
    <row r="390" spans="1:11" ht="18.75" customHeight="1" x14ac:dyDescent="0.25">
      <c r="A390" s="212"/>
      <c r="B390" s="212"/>
      <c r="C390" s="212"/>
      <c r="D390" s="212"/>
      <c r="E390" s="212"/>
      <c r="F390" s="212"/>
      <c r="G390" s="10"/>
      <c r="H390" s="11"/>
      <c r="I390" s="12"/>
      <c r="J390" s="12"/>
      <c r="K390" s="13"/>
    </row>
    <row r="391" spans="1:11" ht="36" customHeight="1" x14ac:dyDescent="0.25">
      <c r="A391" s="59" t="s">
        <v>351</v>
      </c>
      <c r="B391" s="60" t="s">
        <v>352</v>
      </c>
      <c r="C391" s="61">
        <v>1</v>
      </c>
      <c r="D391" s="62" t="s">
        <v>19</v>
      </c>
      <c r="E391" s="63">
        <v>12000</v>
      </c>
      <c r="F391" s="64">
        <f t="shared" ref="F391:F423" si="13">IF(AND(ISNUMBER($C391),ISNUMBER($E391)),$C391*$E391,"")</f>
        <v>12000</v>
      </c>
      <c r="G391" s="20"/>
      <c r="H391" s="199"/>
      <c r="I391" s="37"/>
      <c r="J391" s="37"/>
      <c r="K391" s="38"/>
    </row>
    <row r="392" spans="1:11" ht="49.5" customHeight="1" x14ac:dyDescent="0.25">
      <c r="A392" s="14" t="s">
        <v>348</v>
      </c>
      <c r="B392" s="15" t="s">
        <v>349</v>
      </c>
      <c r="C392" s="16">
        <v>3</v>
      </c>
      <c r="D392" s="17" t="s">
        <v>26</v>
      </c>
      <c r="E392" s="18">
        <v>350</v>
      </c>
      <c r="F392" s="19">
        <f>IF(AND(ISNUMBER($C392),ISNUMBER($E392)),$C392*$E392,"")</f>
        <v>1050</v>
      </c>
      <c r="G392" s="20"/>
      <c r="H392" s="245"/>
      <c r="I392" s="21"/>
      <c r="J392" s="21"/>
      <c r="K392" s="22"/>
    </row>
    <row r="393" spans="1:11" ht="49.5" customHeight="1" x14ac:dyDescent="0.25">
      <c r="A393" s="59" t="s">
        <v>351</v>
      </c>
      <c r="B393" s="60" t="s">
        <v>353</v>
      </c>
      <c r="C393" s="61">
        <v>60</v>
      </c>
      <c r="D393" s="62" t="s">
        <v>26</v>
      </c>
      <c r="E393" s="63">
        <v>110</v>
      </c>
      <c r="F393" s="64">
        <f t="shared" si="13"/>
        <v>6600</v>
      </c>
      <c r="G393" s="20"/>
      <c r="H393" s="200"/>
      <c r="I393" s="29"/>
      <c r="J393" s="29"/>
      <c r="K393" s="30"/>
    </row>
    <row r="394" spans="1:11" ht="63.75" customHeight="1" x14ac:dyDescent="0.25">
      <c r="A394" s="59" t="s">
        <v>351</v>
      </c>
      <c r="B394" s="60" t="s">
        <v>354</v>
      </c>
      <c r="C394" s="61">
        <v>30</v>
      </c>
      <c r="D394" s="62" t="s">
        <v>26</v>
      </c>
      <c r="E394" s="63">
        <v>450</v>
      </c>
      <c r="F394" s="64">
        <f t="shared" si="13"/>
        <v>13500</v>
      </c>
      <c r="G394" s="20"/>
      <c r="H394" s="199"/>
      <c r="I394" s="37"/>
      <c r="J394" s="37"/>
      <c r="K394" s="38"/>
    </row>
    <row r="395" spans="1:11" ht="78" customHeight="1" x14ac:dyDescent="0.25">
      <c r="A395" s="59" t="s">
        <v>351</v>
      </c>
      <c r="B395" s="60" t="s">
        <v>355</v>
      </c>
      <c r="C395" s="61">
        <v>1</v>
      </c>
      <c r="D395" s="62" t="s">
        <v>19</v>
      </c>
      <c r="E395" s="63">
        <v>13000</v>
      </c>
      <c r="F395" s="64">
        <f t="shared" si="13"/>
        <v>13000</v>
      </c>
      <c r="G395" s="20"/>
      <c r="H395" s="200"/>
      <c r="I395" s="29"/>
      <c r="J395" s="29"/>
      <c r="K395" s="30"/>
    </row>
    <row r="396" spans="1:11" ht="63.75" customHeight="1" x14ac:dyDescent="0.25">
      <c r="A396" s="59" t="s">
        <v>351</v>
      </c>
      <c r="B396" s="15" t="s">
        <v>356</v>
      </c>
      <c r="C396" s="16">
        <v>2</v>
      </c>
      <c r="D396" s="17" t="s">
        <v>26</v>
      </c>
      <c r="E396" s="18">
        <v>1500</v>
      </c>
      <c r="F396" s="19">
        <f t="shared" si="13"/>
        <v>3000</v>
      </c>
      <c r="G396" s="20"/>
      <c r="H396" s="245"/>
      <c r="I396" s="21"/>
      <c r="J396" s="21"/>
      <c r="K396" s="22"/>
    </row>
    <row r="397" spans="1:11" ht="49.5" customHeight="1" x14ac:dyDescent="0.25">
      <c r="A397" s="14" t="s">
        <v>351</v>
      </c>
      <c r="B397" s="15" t="s">
        <v>357</v>
      </c>
      <c r="C397" s="16">
        <v>16</v>
      </c>
      <c r="D397" s="17" t="s">
        <v>26</v>
      </c>
      <c r="E397" s="18">
        <v>250</v>
      </c>
      <c r="F397" s="19">
        <f t="shared" si="13"/>
        <v>4000</v>
      </c>
      <c r="G397" s="20"/>
      <c r="H397" s="245"/>
      <c r="I397" s="21"/>
      <c r="J397" s="21"/>
      <c r="K397" s="22"/>
    </row>
    <row r="398" spans="1:11" ht="49.5" customHeight="1" x14ac:dyDescent="0.25">
      <c r="A398" s="59" t="s">
        <v>351</v>
      </c>
      <c r="B398" s="60" t="s">
        <v>358</v>
      </c>
      <c r="C398" s="61">
        <v>1</v>
      </c>
      <c r="D398" s="62" t="s">
        <v>19</v>
      </c>
      <c r="E398" s="63">
        <v>2500</v>
      </c>
      <c r="F398" s="64">
        <f t="shared" si="13"/>
        <v>2500</v>
      </c>
      <c r="G398" s="20"/>
      <c r="H398" s="199"/>
      <c r="I398" s="37"/>
      <c r="J398" s="37"/>
      <c r="K398" s="38"/>
    </row>
    <row r="399" spans="1:11" ht="78" customHeight="1" x14ac:dyDescent="0.25">
      <c r="A399" s="14" t="s">
        <v>351</v>
      </c>
      <c r="B399" s="15" t="s">
        <v>359</v>
      </c>
      <c r="C399" s="16">
        <v>6</v>
      </c>
      <c r="D399" s="17" t="s">
        <v>26</v>
      </c>
      <c r="E399" s="18">
        <v>150</v>
      </c>
      <c r="F399" s="19">
        <f t="shared" si="13"/>
        <v>900</v>
      </c>
      <c r="G399" s="20"/>
      <c r="H399" s="245"/>
      <c r="I399" s="21"/>
      <c r="J399" s="21"/>
      <c r="K399" s="22"/>
    </row>
    <row r="400" spans="1:11" ht="49.5" customHeight="1" x14ac:dyDescent="0.25">
      <c r="A400" s="59" t="s">
        <v>360</v>
      </c>
      <c r="B400" s="60" t="s">
        <v>361</v>
      </c>
      <c r="C400" s="61">
        <v>65</v>
      </c>
      <c r="D400" s="62" t="s">
        <v>26</v>
      </c>
      <c r="E400" s="63">
        <v>75</v>
      </c>
      <c r="F400" s="64">
        <f t="shared" si="13"/>
        <v>4875</v>
      </c>
      <c r="G400" s="20"/>
      <c r="H400" s="199"/>
      <c r="I400" s="37"/>
      <c r="J400" s="37"/>
      <c r="K400" s="38"/>
    </row>
    <row r="401" spans="1:11" ht="63.75" customHeight="1" x14ac:dyDescent="0.25">
      <c r="A401" s="59" t="s">
        <v>360</v>
      </c>
      <c r="B401" s="60" t="s">
        <v>362</v>
      </c>
      <c r="C401" s="61">
        <v>1</v>
      </c>
      <c r="D401" s="62" t="s">
        <v>19</v>
      </c>
      <c r="E401" s="63">
        <v>800</v>
      </c>
      <c r="F401" s="64">
        <f t="shared" si="13"/>
        <v>800</v>
      </c>
      <c r="G401" s="20"/>
      <c r="H401" s="200"/>
      <c r="I401" s="29"/>
      <c r="J401" s="29"/>
      <c r="K401" s="30"/>
    </row>
    <row r="402" spans="1:11" ht="63.75" customHeight="1" x14ac:dyDescent="0.25">
      <c r="A402" s="14" t="s">
        <v>360</v>
      </c>
      <c r="B402" s="15" t="s">
        <v>363</v>
      </c>
      <c r="C402" s="16">
        <v>45</v>
      </c>
      <c r="D402" s="17" t="s">
        <v>26</v>
      </c>
      <c r="E402" s="18">
        <v>200</v>
      </c>
      <c r="F402" s="19">
        <f t="shared" si="13"/>
        <v>9000</v>
      </c>
      <c r="G402" s="20"/>
      <c r="H402" s="245"/>
      <c r="I402" s="21"/>
      <c r="J402" s="21"/>
      <c r="K402" s="22"/>
    </row>
    <row r="403" spans="1:11" ht="63.75" customHeight="1" x14ac:dyDescent="0.25">
      <c r="A403" s="59" t="s">
        <v>360</v>
      </c>
      <c r="B403" s="60" t="s">
        <v>364</v>
      </c>
      <c r="C403" s="61">
        <v>12</v>
      </c>
      <c r="D403" s="62" t="s">
        <v>26</v>
      </c>
      <c r="E403" s="63">
        <v>75</v>
      </c>
      <c r="F403" s="64">
        <f t="shared" si="13"/>
        <v>900</v>
      </c>
      <c r="G403" s="20"/>
      <c r="H403" s="200"/>
      <c r="I403" s="29"/>
      <c r="J403" s="29"/>
      <c r="K403" s="30"/>
    </row>
    <row r="404" spans="1:11" ht="49.5" customHeight="1" x14ac:dyDescent="0.25">
      <c r="A404" s="59" t="s">
        <v>360</v>
      </c>
      <c r="B404" s="60" t="s">
        <v>365</v>
      </c>
      <c r="C404" s="61">
        <v>3</v>
      </c>
      <c r="D404" s="62" t="s">
        <v>26</v>
      </c>
      <c r="E404" s="63">
        <v>120</v>
      </c>
      <c r="F404" s="64">
        <f t="shared" si="13"/>
        <v>360</v>
      </c>
      <c r="G404" s="20"/>
      <c r="H404" s="199"/>
      <c r="I404" s="37"/>
      <c r="J404" s="37"/>
      <c r="K404" s="38"/>
    </row>
    <row r="405" spans="1:11" ht="105.75" customHeight="1" x14ac:dyDescent="0.25">
      <c r="A405" s="14" t="s">
        <v>360</v>
      </c>
      <c r="B405" s="15" t="s">
        <v>366</v>
      </c>
      <c r="C405" s="16">
        <v>4</v>
      </c>
      <c r="D405" s="17" t="s">
        <v>26</v>
      </c>
      <c r="E405" s="18">
        <v>200</v>
      </c>
      <c r="F405" s="19">
        <f t="shared" si="13"/>
        <v>800</v>
      </c>
      <c r="G405" s="20"/>
      <c r="H405" s="245"/>
      <c r="I405" s="21"/>
      <c r="J405" s="21"/>
      <c r="K405" s="22"/>
    </row>
    <row r="406" spans="1:11" ht="78" customHeight="1" x14ac:dyDescent="0.25">
      <c r="A406" s="59" t="s">
        <v>360</v>
      </c>
      <c r="B406" s="60" t="s">
        <v>367</v>
      </c>
      <c r="C406" s="61">
        <v>1</v>
      </c>
      <c r="D406" s="62" t="s">
        <v>19</v>
      </c>
      <c r="E406" s="63">
        <v>8250</v>
      </c>
      <c r="F406" s="64">
        <f t="shared" si="13"/>
        <v>8250</v>
      </c>
      <c r="G406" s="20"/>
      <c r="H406" s="199"/>
      <c r="I406" s="37"/>
      <c r="J406" s="37"/>
      <c r="K406" s="38"/>
    </row>
    <row r="407" spans="1:11" ht="63.75" customHeight="1" x14ac:dyDescent="0.25">
      <c r="A407" s="59" t="s">
        <v>360</v>
      </c>
      <c r="B407" s="60" t="s">
        <v>368</v>
      </c>
      <c r="C407" s="61">
        <v>1</v>
      </c>
      <c r="D407" s="62" t="s">
        <v>19</v>
      </c>
      <c r="E407" s="63">
        <v>1500</v>
      </c>
      <c r="F407" s="64">
        <f t="shared" si="13"/>
        <v>1500</v>
      </c>
      <c r="G407" s="20"/>
      <c r="H407" s="200"/>
      <c r="I407" s="29"/>
      <c r="J407" s="29"/>
      <c r="K407" s="30"/>
    </row>
    <row r="408" spans="1:11" ht="63.75" customHeight="1" x14ac:dyDescent="0.25">
      <c r="A408" s="59" t="s">
        <v>369</v>
      </c>
      <c r="B408" s="60" t="s">
        <v>370</v>
      </c>
      <c r="C408" s="61">
        <v>1</v>
      </c>
      <c r="D408" s="62" t="s">
        <v>19</v>
      </c>
      <c r="E408" s="63">
        <v>25000</v>
      </c>
      <c r="F408" s="64">
        <f t="shared" si="13"/>
        <v>25000</v>
      </c>
      <c r="G408" s="20"/>
      <c r="H408" s="199"/>
      <c r="I408" s="37"/>
      <c r="J408" s="37"/>
      <c r="K408" s="38"/>
    </row>
    <row r="409" spans="1:11" ht="49.5" customHeight="1" x14ac:dyDescent="0.25">
      <c r="A409" s="59" t="s">
        <v>369</v>
      </c>
      <c r="B409" s="60" t="s">
        <v>371</v>
      </c>
      <c r="C409" s="61">
        <v>300</v>
      </c>
      <c r="D409" s="62" t="s">
        <v>21</v>
      </c>
      <c r="E409" s="63">
        <v>13</v>
      </c>
      <c r="F409" s="64">
        <f t="shared" si="13"/>
        <v>3900</v>
      </c>
      <c r="G409" s="20"/>
      <c r="H409" s="200"/>
      <c r="I409" s="29"/>
      <c r="J409" s="29"/>
      <c r="K409" s="30"/>
    </row>
    <row r="410" spans="1:11" ht="63.75" customHeight="1" x14ac:dyDescent="0.25">
      <c r="A410" s="59" t="s">
        <v>372</v>
      </c>
      <c r="B410" s="60" t="s">
        <v>373</v>
      </c>
      <c r="C410" s="61">
        <v>1</v>
      </c>
      <c r="D410" s="62" t="s">
        <v>19</v>
      </c>
      <c r="E410" s="63">
        <v>2400</v>
      </c>
      <c r="F410" s="64">
        <f t="shared" si="13"/>
        <v>2400</v>
      </c>
      <c r="G410" s="20"/>
      <c r="H410" s="199"/>
      <c r="I410" s="37"/>
      <c r="J410" s="37"/>
      <c r="K410" s="38"/>
    </row>
    <row r="411" spans="1:11" ht="49.5" customHeight="1" x14ac:dyDescent="0.25">
      <c r="A411" s="14" t="s">
        <v>372</v>
      </c>
      <c r="B411" s="15" t="s">
        <v>374</v>
      </c>
      <c r="C411" s="16">
        <v>1</v>
      </c>
      <c r="D411" s="17" t="s">
        <v>26</v>
      </c>
      <c r="E411" s="18">
        <v>3200</v>
      </c>
      <c r="F411" s="19">
        <f t="shared" si="13"/>
        <v>3200</v>
      </c>
      <c r="G411" s="20"/>
      <c r="H411" s="245"/>
      <c r="I411" s="21"/>
      <c r="J411" s="21"/>
      <c r="K411" s="22"/>
    </row>
    <row r="412" spans="1:11" ht="63.75" customHeight="1" x14ac:dyDescent="0.25">
      <c r="A412" s="14" t="s">
        <v>351</v>
      </c>
      <c r="B412" s="60" t="s">
        <v>376</v>
      </c>
      <c r="C412" s="61">
        <v>1</v>
      </c>
      <c r="D412" s="62" t="s">
        <v>19</v>
      </c>
      <c r="E412" s="63">
        <v>1500</v>
      </c>
      <c r="F412" s="64">
        <f t="shared" si="13"/>
        <v>1500</v>
      </c>
      <c r="G412" s="20"/>
      <c r="H412" s="199"/>
      <c r="I412" s="37"/>
      <c r="J412" s="37"/>
      <c r="K412" s="38"/>
    </row>
    <row r="413" spans="1:11" ht="63.75" customHeight="1" x14ac:dyDescent="0.25">
      <c r="A413" s="14" t="s">
        <v>375</v>
      </c>
      <c r="B413" s="15" t="s">
        <v>377</v>
      </c>
      <c r="C413" s="16">
        <v>9</v>
      </c>
      <c r="D413" s="17" t="s">
        <v>26</v>
      </c>
      <c r="E413" s="18">
        <v>400</v>
      </c>
      <c r="F413" s="19">
        <f t="shared" si="13"/>
        <v>3600</v>
      </c>
      <c r="G413" s="20"/>
      <c r="H413" s="245"/>
      <c r="I413" s="21"/>
      <c r="J413" s="21"/>
      <c r="K413" s="22"/>
    </row>
    <row r="414" spans="1:11" ht="49.5" customHeight="1" x14ac:dyDescent="0.25">
      <c r="A414" s="14" t="s">
        <v>375</v>
      </c>
      <c r="B414" s="15" t="s">
        <v>378</v>
      </c>
      <c r="C414" s="16">
        <v>25</v>
      </c>
      <c r="D414" s="17" t="s">
        <v>26</v>
      </c>
      <c r="E414" s="18">
        <v>250</v>
      </c>
      <c r="F414" s="19">
        <f t="shared" si="13"/>
        <v>6250</v>
      </c>
      <c r="G414" s="20"/>
      <c r="H414" s="245"/>
      <c r="I414" s="21"/>
      <c r="J414" s="21"/>
      <c r="K414" s="22"/>
    </row>
    <row r="415" spans="1:11" ht="49.5" customHeight="1" x14ac:dyDescent="0.25">
      <c r="A415" s="14" t="s">
        <v>351</v>
      </c>
      <c r="B415" s="15" t="s">
        <v>380</v>
      </c>
      <c r="C415" s="16">
        <v>14</v>
      </c>
      <c r="D415" s="17" t="s">
        <v>26</v>
      </c>
      <c r="E415" s="18">
        <v>300</v>
      </c>
      <c r="F415" s="19">
        <f t="shared" si="13"/>
        <v>4200</v>
      </c>
      <c r="G415" s="20"/>
      <c r="H415" s="245"/>
      <c r="I415" s="21"/>
      <c r="J415" s="21"/>
      <c r="K415" s="22"/>
    </row>
    <row r="416" spans="1:11" ht="49.5" customHeight="1" x14ac:dyDescent="0.25">
      <c r="A416" s="59" t="s">
        <v>375</v>
      </c>
      <c r="B416" s="60" t="s">
        <v>381</v>
      </c>
      <c r="C416" s="61">
        <v>2</v>
      </c>
      <c r="D416" s="62" t="s">
        <v>26</v>
      </c>
      <c r="E416" s="63">
        <v>175</v>
      </c>
      <c r="F416" s="64">
        <f t="shared" si="13"/>
        <v>350</v>
      </c>
      <c r="G416" s="20"/>
      <c r="H416" s="200"/>
      <c r="I416" s="29"/>
      <c r="J416" s="29"/>
      <c r="K416" s="30"/>
    </row>
    <row r="417" spans="1:11" ht="49.5" customHeight="1" x14ac:dyDescent="0.25">
      <c r="A417" s="59" t="s">
        <v>360</v>
      </c>
      <c r="B417" s="60" t="s">
        <v>382</v>
      </c>
      <c r="C417" s="61">
        <v>10</v>
      </c>
      <c r="D417" s="62" t="s">
        <v>26</v>
      </c>
      <c r="E417" s="63">
        <v>150</v>
      </c>
      <c r="F417" s="64">
        <f t="shared" si="13"/>
        <v>1500</v>
      </c>
      <c r="G417" s="20"/>
      <c r="H417" s="199"/>
      <c r="I417" s="37"/>
      <c r="J417" s="37"/>
      <c r="K417" s="38"/>
    </row>
    <row r="418" spans="1:11" ht="78" customHeight="1" x14ac:dyDescent="0.25">
      <c r="A418" s="59" t="s">
        <v>383</v>
      </c>
      <c r="B418" s="60" t="s">
        <v>384</v>
      </c>
      <c r="C418" s="61">
        <v>10</v>
      </c>
      <c r="D418" s="62" t="s">
        <v>26</v>
      </c>
      <c r="E418" s="63">
        <v>140</v>
      </c>
      <c r="F418" s="64">
        <f t="shared" si="13"/>
        <v>1400</v>
      </c>
      <c r="G418" s="20"/>
      <c r="H418" s="200"/>
      <c r="I418" s="29"/>
      <c r="J418" s="29"/>
      <c r="K418" s="30"/>
    </row>
    <row r="419" spans="1:11" ht="49.5" customHeight="1" x14ac:dyDescent="0.25">
      <c r="A419" s="59" t="s">
        <v>383</v>
      </c>
      <c r="B419" s="60" t="s">
        <v>385</v>
      </c>
      <c r="C419" s="61">
        <v>10</v>
      </c>
      <c r="D419" s="62" t="s">
        <v>26</v>
      </c>
      <c r="E419" s="63">
        <v>175</v>
      </c>
      <c r="F419" s="64">
        <f t="shared" si="13"/>
        <v>1750</v>
      </c>
      <c r="G419" s="20"/>
      <c r="H419" s="199"/>
      <c r="I419" s="37"/>
      <c r="J419" s="37"/>
      <c r="K419" s="38"/>
    </row>
    <row r="420" spans="1:11" ht="49.5" customHeight="1" x14ac:dyDescent="0.25">
      <c r="A420" s="14" t="s">
        <v>383</v>
      </c>
      <c r="B420" s="15" t="s">
        <v>386</v>
      </c>
      <c r="C420" s="16">
        <v>9</v>
      </c>
      <c r="D420" s="17" t="s">
        <v>26</v>
      </c>
      <c r="E420" s="18">
        <v>500.00000003999997</v>
      </c>
      <c r="F420" s="19">
        <f t="shared" si="13"/>
        <v>4500.0000003599998</v>
      </c>
      <c r="G420" s="20"/>
      <c r="H420" s="245"/>
      <c r="I420" s="21"/>
      <c r="J420" s="21"/>
      <c r="K420" s="22"/>
    </row>
    <row r="421" spans="1:11" ht="49.5" customHeight="1" x14ac:dyDescent="0.25">
      <c r="A421" s="14" t="s">
        <v>383</v>
      </c>
      <c r="B421" s="15" t="s">
        <v>387</v>
      </c>
      <c r="C421" s="16">
        <v>9</v>
      </c>
      <c r="D421" s="17" t="s">
        <v>26</v>
      </c>
      <c r="E421" s="18">
        <v>175</v>
      </c>
      <c r="F421" s="19">
        <f t="shared" si="13"/>
        <v>1575</v>
      </c>
      <c r="G421" s="20"/>
      <c r="H421" s="245"/>
      <c r="I421" s="21"/>
      <c r="J421" s="21"/>
      <c r="K421" s="22"/>
    </row>
    <row r="422" spans="1:11" ht="63.75" customHeight="1" x14ac:dyDescent="0.25">
      <c r="A422" s="14" t="s">
        <v>383</v>
      </c>
      <c r="B422" s="15" t="s">
        <v>388</v>
      </c>
      <c r="C422" s="16">
        <v>6</v>
      </c>
      <c r="D422" s="17" t="s">
        <v>26</v>
      </c>
      <c r="E422" s="18">
        <v>300</v>
      </c>
      <c r="F422" s="19">
        <f t="shared" si="13"/>
        <v>1800</v>
      </c>
      <c r="G422" s="20"/>
      <c r="H422" s="245"/>
      <c r="I422" s="21"/>
      <c r="J422" s="21"/>
      <c r="K422" s="22"/>
    </row>
    <row r="423" spans="1:11" ht="78" customHeight="1" x14ac:dyDescent="0.25">
      <c r="A423" s="59" t="s">
        <v>383</v>
      </c>
      <c r="B423" s="60" t="s">
        <v>389</v>
      </c>
      <c r="C423" s="61">
        <v>80</v>
      </c>
      <c r="D423" s="62" t="s">
        <v>21</v>
      </c>
      <c r="E423" s="63">
        <v>60</v>
      </c>
      <c r="F423" s="64">
        <f t="shared" si="13"/>
        <v>4800</v>
      </c>
      <c r="G423" s="20"/>
      <c r="H423" s="199"/>
      <c r="I423" s="37"/>
      <c r="J423" s="37"/>
      <c r="K423" s="38"/>
    </row>
    <row r="424" spans="1:11" ht="36" customHeight="1" x14ac:dyDescent="0.25">
      <c r="A424" s="59" t="s">
        <v>383</v>
      </c>
      <c r="B424" s="60" t="s">
        <v>390</v>
      </c>
      <c r="C424" s="61">
        <v>80</v>
      </c>
      <c r="D424" s="62" t="s">
        <v>21</v>
      </c>
      <c r="E424" s="63">
        <v>38</v>
      </c>
      <c r="F424" s="64">
        <f t="shared" ref="F424:F445" si="14">IF(AND(ISNUMBER($C424),ISNUMBER($E424)),$C424*$E424,"")</f>
        <v>3040</v>
      </c>
      <c r="G424" s="20"/>
      <c r="H424" s="200"/>
      <c r="I424" s="29"/>
      <c r="J424" s="29"/>
      <c r="K424" s="30"/>
    </row>
    <row r="425" spans="1:11" ht="36" customHeight="1" x14ac:dyDescent="0.25">
      <c r="A425" s="14" t="s">
        <v>383</v>
      </c>
      <c r="B425" s="15" t="s">
        <v>391</v>
      </c>
      <c r="C425" s="16">
        <v>4</v>
      </c>
      <c r="D425" s="17" t="s">
        <v>26</v>
      </c>
      <c r="E425" s="18">
        <v>500.00000003999997</v>
      </c>
      <c r="F425" s="19">
        <f t="shared" si="14"/>
        <v>2000.0000001599999</v>
      </c>
      <c r="G425" s="20"/>
      <c r="H425" s="245"/>
      <c r="I425" s="21"/>
      <c r="J425" s="21"/>
      <c r="K425" s="22"/>
    </row>
    <row r="426" spans="1:11" ht="36" customHeight="1" x14ac:dyDescent="0.25">
      <c r="A426" s="14" t="s">
        <v>383</v>
      </c>
      <c r="B426" s="15" t="s">
        <v>392</v>
      </c>
      <c r="C426" s="16">
        <v>4</v>
      </c>
      <c r="D426" s="17" t="s">
        <v>26</v>
      </c>
      <c r="E426" s="18">
        <v>175</v>
      </c>
      <c r="F426" s="19">
        <f t="shared" si="14"/>
        <v>700</v>
      </c>
      <c r="G426" s="20"/>
      <c r="H426" s="245"/>
      <c r="I426" s="21"/>
      <c r="J426" s="21"/>
      <c r="K426" s="22"/>
    </row>
    <row r="427" spans="1:11" ht="49.5" customHeight="1" x14ac:dyDescent="0.25">
      <c r="A427" s="59" t="s">
        <v>383</v>
      </c>
      <c r="B427" s="60" t="s">
        <v>393</v>
      </c>
      <c r="C427" s="61">
        <v>3</v>
      </c>
      <c r="D427" s="62" t="s">
        <v>26</v>
      </c>
      <c r="E427" s="63">
        <v>175</v>
      </c>
      <c r="F427" s="64">
        <f t="shared" si="14"/>
        <v>525</v>
      </c>
      <c r="G427" s="20"/>
      <c r="H427" s="199"/>
      <c r="I427" s="37"/>
      <c r="J427" s="37"/>
      <c r="K427" s="38"/>
    </row>
    <row r="428" spans="1:11" ht="49.5" customHeight="1" x14ac:dyDescent="0.25">
      <c r="A428" s="59" t="s">
        <v>375</v>
      </c>
      <c r="B428" s="60" t="s">
        <v>394</v>
      </c>
      <c r="C428" s="61">
        <v>6</v>
      </c>
      <c r="D428" s="62" t="s">
        <v>26</v>
      </c>
      <c r="E428" s="285">
        <v>200</v>
      </c>
      <c r="F428" s="64">
        <f t="shared" si="14"/>
        <v>1200</v>
      </c>
      <c r="G428" s="20"/>
      <c r="H428" s="200"/>
      <c r="I428" s="29"/>
      <c r="J428" s="29"/>
      <c r="K428" s="30"/>
    </row>
    <row r="429" spans="1:11" ht="36" customHeight="1" x14ac:dyDescent="0.25">
      <c r="A429" s="59" t="s">
        <v>383</v>
      </c>
      <c r="B429" s="60" t="s">
        <v>395</v>
      </c>
      <c r="C429" s="61">
        <v>6</v>
      </c>
      <c r="D429" s="62" t="s">
        <v>26</v>
      </c>
      <c r="E429" s="63">
        <v>175</v>
      </c>
      <c r="F429" s="64">
        <f t="shared" si="14"/>
        <v>1050</v>
      </c>
      <c r="G429" s="20"/>
      <c r="H429" s="199"/>
      <c r="I429" s="37"/>
      <c r="J429" s="37"/>
      <c r="K429" s="38"/>
    </row>
    <row r="430" spans="1:11" ht="36" customHeight="1" x14ac:dyDescent="0.25">
      <c r="A430" s="14" t="s">
        <v>383</v>
      </c>
      <c r="B430" s="283" t="s">
        <v>1641</v>
      </c>
      <c r="C430" s="16">
        <v>5</v>
      </c>
      <c r="D430" s="17" t="s">
        <v>26</v>
      </c>
      <c r="E430" s="284">
        <v>400</v>
      </c>
      <c r="F430" s="19">
        <f t="shared" si="14"/>
        <v>2000</v>
      </c>
      <c r="G430" s="20"/>
      <c r="H430" s="245"/>
      <c r="I430" s="21"/>
      <c r="J430" s="21"/>
      <c r="K430" s="22"/>
    </row>
    <row r="431" spans="1:11" ht="36" customHeight="1" x14ac:dyDescent="0.25">
      <c r="A431" s="14" t="s">
        <v>383</v>
      </c>
      <c r="B431" s="15" t="s">
        <v>396</v>
      </c>
      <c r="C431" s="16">
        <v>5</v>
      </c>
      <c r="D431" s="17" t="s">
        <v>26</v>
      </c>
      <c r="E431" s="18">
        <v>300</v>
      </c>
      <c r="F431" s="19">
        <f t="shared" si="14"/>
        <v>1500</v>
      </c>
      <c r="G431" s="20"/>
      <c r="H431" s="245"/>
      <c r="I431" s="21"/>
      <c r="J431" s="21"/>
      <c r="K431" s="22"/>
    </row>
    <row r="432" spans="1:11" ht="36" customHeight="1" x14ac:dyDescent="0.25">
      <c r="A432" s="14" t="s">
        <v>379</v>
      </c>
      <c r="B432" s="60" t="s">
        <v>397</v>
      </c>
      <c r="C432" s="61">
        <v>2</v>
      </c>
      <c r="D432" s="62" t="s">
        <v>26</v>
      </c>
      <c r="E432" s="285">
        <v>400</v>
      </c>
      <c r="F432" s="64">
        <f t="shared" si="14"/>
        <v>800</v>
      </c>
      <c r="G432" s="20"/>
      <c r="H432" s="200"/>
      <c r="I432" s="29"/>
      <c r="J432" s="29"/>
      <c r="K432" s="30"/>
    </row>
    <row r="433" spans="1:11" ht="36" customHeight="1" x14ac:dyDescent="0.25">
      <c r="A433" s="59" t="s">
        <v>383</v>
      </c>
      <c r="B433" s="60" t="s">
        <v>398</v>
      </c>
      <c r="C433" s="61">
        <v>2</v>
      </c>
      <c r="D433" s="62" t="s">
        <v>26</v>
      </c>
      <c r="E433" s="63">
        <v>300</v>
      </c>
      <c r="F433" s="64">
        <f t="shared" si="14"/>
        <v>600</v>
      </c>
      <c r="G433" s="20"/>
      <c r="H433" s="199"/>
      <c r="I433" s="37"/>
      <c r="J433" s="37"/>
      <c r="K433" s="38"/>
    </row>
    <row r="434" spans="1:11" ht="63.75" customHeight="1" x14ac:dyDescent="0.25">
      <c r="A434" s="59" t="s">
        <v>375</v>
      </c>
      <c r="B434" s="60" t="s">
        <v>399</v>
      </c>
      <c r="C434" s="61">
        <v>1</v>
      </c>
      <c r="D434" s="62" t="s">
        <v>19</v>
      </c>
      <c r="E434" s="63">
        <v>500</v>
      </c>
      <c r="F434" s="64">
        <f t="shared" si="14"/>
        <v>500</v>
      </c>
      <c r="G434" s="20"/>
      <c r="H434" s="200"/>
      <c r="I434" s="29"/>
      <c r="J434" s="29"/>
      <c r="K434" s="30"/>
    </row>
    <row r="435" spans="1:11" ht="49.5" customHeight="1" x14ac:dyDescent="0.25">
      <c r="A435" s="59" t="s">
        <v>383</v>
      </c>
      <c r="B435" s="60" t="s">
        <v>400</v>
      </c>
      <c r="C435" s="61">
        <v>1</v>
      </c>
      <c r="D435" s="62" t="s">
        <v>19</v>
      </c>
      <c r="E435" s="63">
        <v>600</v>
      </c>
      <c r="F435" s="64">
        <f t="shared" si="14"/>
        <v>600</v>
      </c>
      <c r="G435" s="20"/>
      <c r="H435" s="199"/>
      <c r="I435" s="37"/>
      <c r="J435" s="37"/>
      <c r="K435" s="38"/>
    </row>
    <row r="436" spans="1:11" ht="49.5" customHeight="1" x14ac:dyDescent="0.25">
      <c r="A436" s="59" t="s">
        <v>383</v>
      </c>
      <c r="B436" s="60" t="s">
        <v>401</v>
      </c>
      <c r="C436" s="61">
        <v>12</v>
      </c>
      <c r="D436" s="62" t="s">
        <v>26</v>
      </c>
      <c r="E436" s="63">
        <v>225</v>
      </c>
      <c r="F436" s="64">
        <f t="shared" si="14"/>
        <v>2700</v>
      </c>
      <c r="G436" s="20"/>
      <c r="H436" s="200"/>
      <c r="I436" s="29"/>
      <c r="J436" s="29"/>
      <c r="K436" s="30"/>
    </row>
    <row r="437" spans="1:11" ht="49.5" customHeight="1" x14ac:dyDescent="0.25">
      <c r="A437" s="14" t="s">
        <v>402</v>
      </c>
      <c r="B437" s="15" t="s">
        <v>403</v>
      </c>
      <c r="C437" s="16">
        <v>38</v>
      </c>
      <c r="D437" s="17" t="s">
        <v>26</v>
      </c>
      <c r="E437" s="18">
        <v>500.00000003999997</v>
      </c>
      <c r="F437" s="19">
        <f t="shared" si="14"/>
        <v>19000.000001519998</v>
      </c>
      <c r="G437" s="20"/>
      <c r="H437" s="245"/>
      <c r="I437" s="21"/>
      <c r="J437" s="21"/>
      <c r="K437" s="22"/>
    </row>
    <row r="438" spans="1:11" ht="36" customHeight="1" x14ac:dyDescent="0.25">
      <c r="A438" s="59" t="s">
        <v>402</v>
      </c>
      <c r="B438" s="60" t="s">
        <v>404</v>
      </c>
      <c r="C438" s="61">
        <v>38</v>
      </c>
      <c r="D438" s="62" t="s">
        <v>26</v>
      </c>
      <c r="E438" s="63">
        <v>175</v>
      </c>
      <c r="F438" s="64">
        <f t="shared" si="14"/>
        <v>6650</v>
      </c>
      <c r="G438" s="20"/>
      <c r="H438" s="200"/>
      <c r="I438" s="29"/>
      <c r="J438" s="29"/>
      <c r="K438" s="30"/>
    </row>
    <row r="439" spans="1:11" ht="49.5" customHeight="1" x14ac:dyDescent="0.25">
      <c r="A439" s="14" t="s">
        <v>402</v>
      </c>
      <c r="B439" s="15" t="s">
        <v>405</v>
      </c>
      <c r="C439" s="16">
        <v>21</v>
      </c>
      <c r="D439" s="17" t="s">
        <v>26</v>
      </c>
      <c r="E439" s="18">
        <v>500.00000003999997</v>
      </c>
      <c r="F439" s="19">
        <f t="shared" si="14"/>
        <v>10500.00000084</v>
      </c>
      <c r="G439" s="20"/>
      <c r="H439" s="245"/>
      <c r="I439" s="21"/>
      <c r="J439" s="21"/>
      <c r="K439" s="22"/>
    </row>
    <row r="440" spans="1:11" ht="36" customHeight="1" x14ac:dyDescent="0.25">
      <c r="A440" s="14" t="s">
        <v>402</v>
      </c>
      <c r="B440" s="15" t="s">
        <v>406</v>
      </c>
      <c r="C440" s="16">
        <v>21</v>
      </c>
      <c r="D440" s="17" t="s">
        <v>26</v>
      </c>
      <c r="E440" s="18">
        <v>175</v>
      </c>
      <c r="F440" s="19">
        <f t="shared" si="14"/>
        <v>3675</v>
      </c>
      <c r="G440" s="20"/>
      <c r="H440" s="245"/>
      <c r="I440" s="21"/>
      <c r="J440" s="21"/>
      <c r="K440" s="22"/>
    </row>
    <row r="441" spans="1:11" ht="49.5" customHeight="1" x14ac:dyDescent="0.25">
      <c r="A441" s="14" t="s">
        <v>402</v>
      </c>
      <c r="B441" s="15" t="s">
        <v>407</v>
      </c>
      <c r="C441" s="16">
        <v>2</v>
      </c>
      <c r="D441" s="17" t="s">
        <v>26</v>
      </c>
      <c r="E441" s="18">
        <v>4350</v>
      </c>
      <c r="F441" s="19">
        <f t="shared" si="14"/>
        <v>8700</v>
      </c>
      <c r="G441" s="20"/>
      <c r="H441" s="245"/>
      <c r="I441" s="21"/>
      <c r="J441" s="21"/>
      <c r="K441" s="22"/>
    </row>
    <row r="442" spans="1:11" ht="36" customHeight="1" x14ac:dyDescent="0.25">
      <c r="A442" s="51" t="s">
        <v>383</v>
      </c>
      <c r="B442" s="52" t="s">
        <v>408</v>
      </c>
      <c r="C442" s="53">
        <v>8</v>
      </c>
      <c r="D442" s="54" t="s">
        <v>26</v>
      </c>
      <c r="E442" s="55">
        <v>500.00000003999997</v>
      </c>
      <c r="F442" s="56">
        <f t="shared" si="14"/>
        <v>4000.0000003199998</v>
      </c>
      <c r="G442" s="20"/>
      <c r="H442" s="248"/>
      <c r="I442" s="57"/>
      <c r="J442" s="57"/>
      <c r="K442" s="58"/>
    </row>
    <row r="443" spans="1:11" ht="49.5" customHeight="1" x14ac:dyDescent="0.25">
      <c r="A443" s="51" t="s">
        <v>375</v>
      </c>
      <c r="B443" s="52" t="s">
        <v>409</v>
      </c>
      <c r="C443" s="53">
        <v>38</v>
      </c>
      <c r="D443" s="54" t="s">
        <v>26</v>
      </c>
      <c r="E443" s="55">
        <v>250</v>
      </c>
      <c r="F443" s="56">
        <f t="shared" si="14"/>
        <v>9500</v>
      </c>
      <c r="G443" s="20"/>
      <c r="H443" s="248"/>
      <c r="I443" s="57"/>
      <c r="J443" s="57"/>
      <c r="K443" s="58"/>
    </row>
    <row r="444" spans="1:11" ht="36" customHeight="1" x14ac:dyDescent="0.25">
      <c r="A444" s="51" t="s">
        <v>375</v>
      </c>
      <c r="B444" s="52" t="s">
        <v>410</v>
      </c>
      <c r="C444" s="53">
        <v>2</v>
      </c>
      <c r="D444" s="54" t="s">
        <v>26</v>
      </c>
      <c r="E444" s="55">
        <v>350</v>
      </c>
      <c r="F444" s="56">
        <f t="shared" si="14"/>
        <v>700</v>
      </c>
      <c r="G444" s="20"/>
      <c r="H444" s="248"/>
      <c r="I444" s="57"/>
      <c r="J444" s="57"/>
      <c r="K444" s="58"/>
    </row>
    <row r="445" spans="1:11" ht="36" customHeight="1" x14ac:dyDescent="0.25">
      <c r="A445" s="59" t="s">
        <v>383</v>
      </c>
      <c r="B445" s="52" t="s">
        <v>411</v>
      </c>
      <c r="C445" s="53">
        <v>1</v>
      </c>
      <c r="D445" s="54" t="s">
        <v>26</v>
      </c>
      <c r="E445" s="55">
        <v>250</v>
      </c>
      <c r="F445" s="56">
        <f t="shared" si="14"/>
        <v>250</v>
      </c>
      <c r="G445" s="20"/>
      <c r="H445" s="248"/>
      <c r="I445" s="57"/>
      <c r="J445" s="57"/>
      <c r="K445" s="58"/>
    </row>
    <row r="446" spans="1:11" ht="18.75" customHeight="1" x14ac:dyDescent="0.25">
      <c r="A446" s="213" t="s">
        <v>28</v>
      </c>
      <c r="B446" s="213"/>
      <c r="C446" s="213"/>
      <c r="D446" s="213"/>
      <c r="E446" s="39"/>
      <c r="F446" s="40">
        <f>IF(SUM(F391:F445)=0,"-",SUM(F391:F445))</f>
        <v>230950.00000320002</v>
      </c>
      <c r="G446" s="41"/>
      <c r="H446" s="204" t="str">
        <f>IF(SUM(H390:H445)=0,"-",SUM(H390:H445))</f>
        <v>-</v>
      </c>
      <c r="I446" s="40" t="str">
        <f>IF(SUM(I390:I445)=0,"-",SUM(I390:I445))</f>
        <v>-</v>
      </c>
      <c r="J446" s="40" t="str">
        <f>IF(SUM(J390:J445)=0,"-",SUM(J390:J445))</f>
        <v>-</v>
      </c>
      <c r="K446" s="42" t="str">
        <f>IF(SUM(K390:K445)=0,"-",SUM(K390:K445))</f>
        <v>-</v>
      </c>
    </row>
    <row r="447" spans="1:11" ht="6.75" customHeight="1" thickBot="1" x14ac:dyDescent="0.3"/>
    <row r="448" spans="1:11" ht="18.75" customHeight="1" thickBot="1" x14ac:dyDescent="0.3">
      <c r="A448" s="212" t="s">
        <v>1630</v>
      </c>
      <c r="B448" s="212"/>
      <c r="C448" s="212"/>
      <c r="D448" s="212"/>
      <c r="E448" s="212"/>
      <c r="F448" s="212"/>
      <c r="G448" s="6"/>
      <c r="H448" s="7" t="s">
        <v>1616</v>
      </c>
      <c r="I448" s="8" t="s">
        <v>13</v>
      </c>
      <c r="J448" s="8" t="s">
        <v>14</v>
      </c>
      <c r="K448" s="9" t="s">
        <v>15</v>
      </c>
    </row>
    <row r="449" spans="1:11" ht="18.75" customHeight="1" thickBot="1" x14ac:dyDescent="0.3">
      <c r="A449" s="228"/>
      <c r="B449" s="228"/>
      <c r="C449" s="228"/>
      <c r="D449" s="228"/>
      <c r="E449" s="228"/>
      <c r="F449" s="228"/>
      <c r="G449" s="10"/>
      <c r="H449" s="11">
        <f>SUM(136000-20000)</f>
        <v>116000</v>
      </c>
      <c r="I449" s="12"/>
      <c r="J449" s="12"/>
      <c r="K449" s="13"/>
    </row>
    <row r="450" spans="1:11" ht="34.5" customHeight="1" thickBot="1" x14ac:dyDescent="0.3">
      <c r="A450" s="229" t="s">
        <v>1628</v>
      </c>
      <c r="B450" s="230"/>
      <c r="C450" s="230"/>
      <c r="D450" s="230"/>
      <c r="E450" s="230"/>
      <c r="F450" s="231"/>
      <c r="G450" s="205"/>
      <c r="H450" s="199"/>
      <c r="I450" s="37"/>
      <c r="J450" s="37"/>
      <c r="K450" s="38"/>
    </row>
    <row r="451" spans="1:11" ht="63.75" customHeight="1" x14ac:dyDescent="0.25">
      <c r="A451" s="59" t="s">
        <v>383</v>
      </c>
      <c r="B451" s="32" t="s">
        <v>413</v>
      </c>
      <c r="C451" s="33">
        <v>1</v>
      </c>
      <c r="D451" s="34" t="s">
        <v>19</v>
      </c>
      <c r="E451" s="35">
        <v>5000</v>
      </c>
      <c r="F451" s="36">
        <f t="shared" ref="F451:F478" si="15">IF(AND(ISNUMBER($C451),ISNUMBER($E451)),$C451*$E451,"")</f>
        <v>5000</v>
      </c>
      <c r="G451" s="20"/>
      <c r="H451" s="201">
        <f>F451</f>
        <v>5000</v>
      </c>
      <c r="I451" s="37"/>
      <c r="J451" s="37"/>
      <c r="K451" s="38"/>
    </row>
    <row r="452" spans="1:11" ht="49.5" customHeight="1" x14ac:dyDescent="0.25">
      <c r="A452" s="23" t="s">
        <v>412</v>
      </c>
      <c r="B452" s="24" t="s">
        <v>414</v>
      </c>
      <c r="C452" s="25">
        <v>3</v>
      </c>
      <c r="D452" s="26" t="s">
        <v>26</v>
      </c>
      <c r="E452" s="27">
        <v>450</v>
      </c>
      <c r="F452" s="28">
        <f t="shared" si="15"/>
        <v>1350</v>
      </c>
      <c r="G452" s="20"/>
      <c r="H452" s="200" t="s">
        <v>1627</v>
      </c>
      <c r="I452" s="29"/>
      <c r="J452" s="29"/>
      <c r="K452" s="30"/>
    </row>
    <row r="453" spans="1:11" ht="63.75" customHeight="1" x14ac:dyDescent="0.25">
      <c r="A453" s="31" t="s">
        <v>412</v>
      </c>
      <c r="B453" s="32" t="s">
        <v>415</v>
      </c>
      <c r="C453" s="33">
        <v>7719.04</v>
      </c>
      <c r="D453" s="34" t="s">
        <v>23</v>
      </c>
      <c r="E453" s="35">
        <v>0.75</v>
      </c>
      <c r="F453" s="36">
        <f t="shared" si="15"/>
        <v>5789.28</v>
      </c>
      <c r="G453" s="20"/>
      <c r="H453" s="199" t="s">
        <v>1627</v>
      </c>
      <c r="I453" s="37"/>
      <c r="J453" s="37"/>
      <c r="K453" s="38"/>
    </row>
    <row r="454" spans="1:11" ht="49.5" customHeight="1" x14ac:dyDescent="0.25">
      <c r="A454" s="23" t="s">
        <v>412</v>
      </c>
      <c r="B454" s="24" t="s">
        <v>416</v>
      </c>
      <c r="C454" s="25" t="s">
        <v>34</v>
      </c>
      <c r="D454" s="26" t="s">
        <v>35</v>
      </c>
      <c r="E454" s="27" t="s">
        <v>34</v>
      </c>
      <c r="F454" s="28" t="str">
        <f t="shared" si="15"/>
        <v/>
      </c>
      <c r="G454" s="20"/>
      <c r="H454" s="200" t="s">
        <v>1627</v>
      </c>
      <c r="I454" s="29"/>
      <c r="J454" s="29"/>
      <c r="K454" s="30"/>
    </row>
    <row r="455" spans="1:11" ht="63.75" customHeight="1" x14ac:dyDescent="0.25">
      <c r="A455" s="14" t="s">
        <v>417</v>
      </c>
      <c r="B455" s="15" t="s">
        <v>418</v>
      </c>
      <c r="C455" s="16">
        <v>835.56</v>
      </c>
      <c r="D455" s="17" t="s">
        <v>21</v>
      </c>
      <c r="E455" s="18">
        <v>7</v>
      </c>
      <c r="F455" s="19">
        <f t="shared" si="15"/>
        <v>5848.92</v>
      </c>
      <c r="G455" s="20"/>
      <c r="H455" s="245" t="s">
        <v>1627</v>
      </c>
      <c r="I455" s="21"/>
      <c r="J455" s="21"/>
      <c r="K455" s="22"/>
    </row>
    <row r="456" spans="1:11" ht="63.75" customHeight="1" x14ac:dyDescent="0.25">
      <c r="A456" s="23" t="s">
        <v>417</v>
      </c>
      <c r="B456" s="24" t="s">
        <v>419</v>
      </c>
      <c r="C456" s="25" t="s">
        <v>34</v>
      </c>
      <c r="D456" s="26" t="s">
        <v>35</v>
      </c>
      <c r="E456" s="27" t="s">
        <v>34</v>
      </c>
      <c r="F456" s="28" t="str">
        <f t="shared" si="15"/>
        <v/>
      </c>
      <c r="G456" s="20"/>
      <c r="H456" s="200" t="s">
        <v>1627</v>
      </c>
      <c r="I456" s="29"/>
      <c r="J456" s="29"/>
      <c r="K456" s="30"/>
    </row>
    <row r="457" spans="1:11" ht="49.5" customHeight="1" x14ac:dyDescent="0.25">
      <c r="A457" s="14" t="s">
        <v>417</v>
      </c>
      <c r="B457" s="15" t="s">
        <v>420</v>
      </c>
      <c r="C457" s="16">
        <v>963.63</v>
      </c>
      <c r="D457" s="17" t="s">
        <v>21</v>
      </c>
      <c r="E457" s="18">
        <v>7</v>
      </c>
      <c r="F457" s="19">
        <f t="shared" si="15"/>
        <v>6745.41</v>
      </c>
      <c r="G457" s="20"/>
      <c r="H457" s="245">
        <f>F457</f>
        <v>6745.41</v>
      </c>
      <c r="I457" s="21"/>
      <c r="J457" s="21"/>
      <c r="K457" s="22"/>
    </row>
    <row r="458" spans="1:11" ht="36" customHeight="1" x14ac:dyDescent="0.25">
      <c r="A458" s="14" t="s">
        <v>417</v>
      </c>
      <c r="B458" s="15" t="s">
        <v>421</v>
      </c>
      <c r="C458" s="16">
        <v>1</v>
      </c>
      <c r="D458" s="17" t="s">
        <v>26</v>
      </c>
      <c r="E458" s="18">
        <v>4999.9999999600004</v>
      </c>
      <c r="F458" s="19">
        <f t="shared" si="15"/>
        <v>4999.9999999600004</v>
      </c>
      <c r="G458" s="20"/>
      <c r="H458" s="245" t="s">
        <v>1627</v>
      </c>
      <c r="I458" s="21"/>
      <c r="J458" s="21"/>
      <c r="K458" s="22"/>
    </row>
    <row r="459" spans="1:11" ht="49.5" customHeight="1" x14ac:dyDescent="0.25">
      <c r="A459" s="14" t="s">
        <v>417</v>
      </c>
      <c r="B459" s="15" t="s">
        <v>422</v>
      </c>
      <c r="C459" s="16">
        <v>2</v>
      </c>
      <c r="D459" s="17" t="s">
        <v>26</v>
      </c>
      <c r="E459" s="18">
        <v>300</v>
      </c>
      <c r="F459" s="19">
        <f t="shared" si="15"/>
        <v>600</v>
      </c>
      <c r="G459" s="20"/>
      <c r="H459" s="245">
        <f>F459</f>
        <v>600</v>
      </c>
      <c r="I459" s="21"/>
      <c r="J459" s="21"/>
      <c r="K459" s="22"/>
    </row>
    <row r="460" spans="1:11" ht="49.5" customHeight="1" x14ac:dyDescent="0.25">
      <c r="A460" s="23"/>
      <c r="B460" s="24" t="s">
        <v>423</v>
      </c>
      <c r="C460" s="25" t="s">
        <v>34</v>
      </c>
      <c r="D460" s="26" t="s">
        <v>35</v>
      </c>
      <c r="E460" s="27" t="s">
        <v>34</v>
      </c>
      <c r="F460" s="28" t="str">
        <f t="shared" si="15"/>
        <v/>
      </c>
      <c r="G460" s="20"/>
      <c r="H460" s="200" t="s">
        <v>1627</v>
      </c>
      <c r="I460" s="29"/>
      <c r="J460" s="29"/>
      <c r="K460" s="30"/>
    </row>
    <row r="461" spans="1:11" ht="49.5" customHeight="1" x14ac:dyDescent="0.25">
      <c r="A461" s="14" t="s">
        <v>417</v>
      </c>
      <c r="B461" s="15" t="s">
        <v>424</v>
      </c>
      <c r="C461" s="16">
        <v>261.76</v>
      </c>
      <c r="D461" s="17" t="s">
        <v>23</v>
      </c>
      <c r="E461" s="18">
        <v>15</v>
      </c>
      <c r="F461" s="19">
        <f t="shared" si="15"/>
        <v>3926.3999999999996</v>
      </c>
      <c r="G461" s="20"/>
      <c r="H461" s="245" t="s">
        <v>1627</v>
      </c>
      <c r="I461" s="21"/>
      <c r="J461" s="21"/>
      <c r="K461" s="22"/>
    </row>
    <row r="462" spans="1:11" ht="49.5" customHeight="1" x14ac:dyDescent="0.25">
      <c r="A462" s="23" t="s">
        <v>417</v>
      </c>
      <c r="B462" s="24" t="s">
        <v>425</v>
      </c>
      <c r="C462" s="25">
        <v>260</v>
      </c>
      <c r="D462" s="26" t="s">
        <v>426</v>
      </c>
      <c r="E462" s="27">
        <v>100</v>
      </c>
      <c r="F462" s="28">
        <f t="shared" si="15"/>
        <v>26000</v>
      </c>
      <c r="G462" s="20"/>
      <c r="H462" s="202">
        <f>F462</f>
        <v>26000</v>
      </c>
      <c r="I462" s="29"/>
      <c r="J462" s="29"/>
      <c r="K462" s="30"/>
    </row>
    <row r="463" spans="1:11" ht="36" customHeight="1" x14ac:dyDescent="0.25">
      <c r="A463" s="31" t="s">
        <v>417</v>
      </c>
      <c r="B463" s="32" t="s">
        <v>427</v>
      </c>
      <c r="C463" s="33">
        <v>1</v>
      </c>
      <c r="D463" s="34" t="s">
        <v>19</v>
      </c>
      <c r="E463" s="35">
        <v>3600</v>
      </c>
      <c r="F463" s="36">
        <f t="shared" si="15"/>
        <v>3600</v>
      </c>
      <c r="G463" s="20"/>
      <c r="H463" s="201">
        <f>F463</f>
        <v>3600</v>
      </c>
      <c r="I463" s="37"/>
      <c r="J463" s="37"/>
      <c r="K463" s="38"/>
    </row>
    <row r="464" spans="1:11" ht="63.75" customHeight="1" x14ac:dyDescent="0.25">
      <c r="A464" s="23" t="s">
        <v>417</v>
      </c>
      <c r="B464" s="24" t="s">
        <v>428</v>
      </c>
      <c r="C464" s="25">
        <v>1</v>
      </c>
      <c r="D464" s="26" t="s">
        <v>19</v>
      </c>
      <c r="E464" s="27">
        <v>5000</v>
      </c>
      <c r="F464" s="28">
        <f t="shared" si="15"/>
        <v>5000</v>
      </c>
      <c r="G464" s="20"/>
      <c r="H464" s="202">
        <f>F464</f>
        <v>5000</v>
      </c>
      <c r="I464" s="29"/>
      <c r="J464" s="29"/>
      <c r="K464" s="30"/>
    </row>
    <row r="465" spans="1:11" ht="63.75" customHeight="1" x14ac:dyDescent="0.25">
      <c r="A465" s="31" t="s">
        <v>412</v>
      </c>
      <c r="B465" s="32" t="s">
        <v>429</v>
      </c>
      <c r="C465" s="33">
        <v>835.56</v>
      </c>
      <c r="D465" s="34" t="s">
        <v>21</v>
      </c>
      <c r="E465" s="35">
        <v>6</v>
      </c>
      <c r="F465" s="36">
        <f t="shared" si="15"/>
        <v>5013.3599999999997</v>
      </c>
      <c r="G465" s="20"/>
      <c r="H465" s="199" t="s">
        <v>1627</v>
      </c>
      <c r="I465" s="37"/>
      <c r="J465" s="37"/>
      <c r="K465" s="38"/>
    </row>
    <row r="466" spans="1:11" ht="63.75" customHeight="1" x14ac:dyDescent="0.25">
      <c r="A466" s="23" t="s">
        <v>417</v>
      </c>
      <c r="B466" s="24" t="s">
        <v>430</v>
      </c>
      <c r="C466" s="25"/>
      <c r="D466" s="65" t="s">
        <v>35</v>
      </c>
      <c r="E466" s="27"/>
      <c r="F466" s="28" t="str">
        <f t="shared" si="15"/>
        <v/>
      </c>
      <c r="G466" s="20"/>
      <c r="H466" s="200" t="s">
        <v>1627</v>
      </c>
      <c r="I466" s="29"/>
      <c r="J466" s="29"/>
      <c r="K466" s="30"/>
    </row>
    <row r="467" spans="1:11" ht="63.75" customHeight="1" x14ac:dyDescent="0.25">
      <c r="A467" s="31" t="s">
        <v>417</v>
      </c>
      <c r="B467" s="32" t="s">
        <v>431</v>
      </c>
      <c r="C467" s="33">
        <v>1</v>
      </c>
      <c r="D467" s="34" t="s">
        <v>19</v>
      </c>
      <c r="E467" s="35">
        <v>6000</v>
      </c>
      <c r="F467" s="36">
        <f t="shared" si="15"/>
        <v>6000</v>
      </c>
      <c r="G467" s="20"/>
      <c r="H467" s="199">
        <f>F467</f>
        <v>6000</v>
      </c>
      <c r="I467" s="37"/>
      <c r="J467" s="37"/>
      <c r="K467" s="38"/>
    </row>
    <row r="468" spans="1:11" ht="49.5" customHeight="1" x14ac:dyDescent="0.25">
      <c r="A468" s="179" t="s">
        <v>432</v>
      </c>
      <c r="B468" s="180" t="s">
        <v>433</v>
      </c>
      <c r="C468" s="181">
        <v>1</v>
      </c>
      <c r="D468" s="182" t="s">
        <v>19</v>
      </c>
      <c r="E468" s="183">
        <v>8000</v>
      </c>
      <c r="F468" s="184">
        <f t="shared" si="15"/>
        <v>8000</v>
      </c>
      <c r="G468" s="20"/>
      <c r="H468" s="199" t="s">
        <v>1627</v>
      </c>
      <c r="I468" s="37"/>
      <c r="J468" s="37"/>
      <c r="K468" s="38"/>
    </row>
    <row r="469" spans="1:11" ht="49.5" customHeight="1" x14ac:dyDescent="0.25">
      <c r="A469" s="23" t="s">
        <v>432</v>
      </c>
      <c r="B469" s="24" t="s">
        <v>434</v>
      </c>
      <c r="C469" s="25">
        <v>1</v>
      </c>
      <c r="D469" s="26" t="s">
        <v>19</v>
      </c>
      <c r="E469" s="27">
        <v>5000</v>
      </c>
      <c r="F469" s="28">
        <f t="shared" si="15"/>
        <v>5000</v>
      </c>
      <c r="G469" s="20"/>
      <c r="H469" s="200" t="s">
        <v>1627</v>
      </c>
      <c r="I469" s="29"/>
      <c r="J469" s="29"/>
      <c r="K469" s="30"/>
    </row>
    <row r="470" spans="1:11" ht="63.75" customHeight="1" x14ac:dyDescent="0.25">
      <c r="A470" s="31" t="s">
        <v>432</v>
      </c>
      <c r="B470" s="66" t="s">
        <v>1858</v>
      </c>
      <c r="C470" s="33">
        <f>1400*4/27</f>
        <v>207.40740740740742</v>
      </c>
      <c r="D470" s="34" t="s">
        <v>32</v>
      </c>
      <c r="E470" s="35">
        <v>110</v>
      </c>
      <c r="F470" s="36">
        <f t="shared" si="15"/>
        <v>22814.814814814818</v>
      </c>
      <c r="G470" s="20"/>
      <c r="H470" s="201">
        <f>F470</f>
        <v>22814.814814814818</v>
      </c>
      <c r="I470" s="37"/>
      <c r="J470" s="37"/>
      <c r="K470" s="38"/>
    </row>
    <row r="471" spans="1:11" ht="49.5" customHeight="1" x14ac:dyDescent="0.25">
      <c r="A471" s="23" t="s">
        <v>432</v>
      </c>
      <c r="B471" s="24" t="s">
        <v>435</v>
      </c>
      <c r="C471" s="25" t="s">
        <v>34</v>
      </c>
      <c r="D471" s="65" t="s">
        <v>35</v>
      </c>
      <c r="E471" s="27" t="s">
        <v>34</v>
      </c>
      <c r="F471" s="28" t="str">
        <f t="shared" si="15"/>
        <v/>
      </c>
      <c r="G471" s="20"/>
      <c r="H471" s="200" t="s">
        <v>1627</v>
      </c>
      <c r="I471" s="29"/>
      <c r="J471" s="29"/>
      <c r="K471" s="30"/>
    </row>
    <row r="472" spans="1:11" ht="63.75" customHeight="1" x14ac:dyDescent="0.25">
      <c r="A472" s="23" t="s">
        <v>417</v>
      </c>
      <c r="B472" s="32" t="s">
        <v>436</v>
      </c>
      <c r="C472" s="33">
        <v>1</v>
      </c>
      <c r="D472" s="67" t="s">
        <v>19</v>
      </c>
      <c r="E472" s="35">
        <v>4800</v>
      </c>
      <c r="F472" s="36">
        <f t="shared" si="15"/>
        <v>4800</v>
      </c>
      <c r="G472" s="20"/>
      <c r="H472" s="201">
        <f>F472</f>
        <v>4800</v>
      </c>
      <c r="I472" s="37"/>
      <c r="J472" s="37"/>
      <c r="K472" s="38"/>
    </row>
    <row r="473" spans="1:11" ht="49.5" customHeight="1" x14ac:dyDescent="0.25">
      <c r="A473" s="23" t="s">
        <v>432</v>
      </c>
      <c r="B473" s="365" t="s">
        <v>1859</v>
      </c>
      <c r="C473" s="25">
        <v>1400</v>
      </c>
      <c r="D473" s="65" t="s">
        <v>23</v>
      </c>
      <c r="E473" s="27">
        <v>20</v>
      </c>
      <c r="F473" s="28">
        <f t="shared" si="15"/>
        <v>28000</v>
      </c>
      <c r="G473" s="20"/>
      <c r="H473" s="202">
        <f>F473</f>
        <v>28000</v>
      </c>
      <c r="I473" s="29"/>
      <c r="J473" s="29"/>
      <c r="K473" s="30"/>
    </row>
    <row r="474" spans="1:11" ht="49.5" customHeight="1" x14ac:dyDescent="0.25">
      <c r="A474" s="43" t="s">
        <v>30</v>
      </c>
      <c r="B474" s="44" t="s">
        <v>39</v>
      </c>
      <c r="C474" s="45">
        <v>9.2249999999999996</v>
      </c>
      <c r="D474" s="46" t="s">
        <v>32</v>
      </c>
      <c r="E474" s="47">
        <v>105</v>
      </c>
      <c r="F474" s="48">
        <f>IF(AND(ISNUMBER($C474),ISNUMBER($E474)),$C474*$E474,"")</f>
        <v>968.625</v>
      </c>
      <c r="G474" s="20"/>
      <c r="H474" s="203" t="s">
        <v>1627</v>
      </c>
      <c r="I474" s="49"/>
      <c r="J474" s="49"/>
      <c r="K474" s="50"/>
    </row>
    <row r="475" spans="1:11" ht="63.75" customHeight="1" x14ac:dyDescent="0.25">
      <c r="A475" s="31" t="s">
        <v>432</v>
      </c>
      <c r="B475" s="32" t="s">
        <v>437</v>
      </c>
      <c r="C475" s="33" t="s">
        <v>34</v>
      </c>
      <c r="D475" s="67" t="s">
        <v>35</v>
      </c>
      <c r="E475" s="35" t="s">
        <v>34</v>
      </c>
      <c r="F475" s="36" t="str">
        <f t="shared" si="15"/>
        <v/>
      </c>
      <c r="G475" s="20"/>
      <c r="H475" s="199" t="s">
        <v>1627</v>
      </c>
      <c r="I475" s="37"/>
      <c r="J475" s="37"/>
      <c r="K475" s="38"/>
    </row>
    <row r="476" spans="1:11" ht="63.75" customHeight="1" x14ac:dyDescent="0.25">
      <c r="A476" s="23" t="s">
        <v>432</v>
      </c>
      <c r="B476" s="24" t="s">
        <v>438</v>
      </c>
      <c r="C476" s="25" t="s">
        <v>34</v>
      </c>
      <c r="D476" s="65" t="s">
        <v>35</v>
      </c>
      <c r="E476" s="27" t="s">
        <v>34</v>
      </c>
      <c r="F476" s="28" t="str">
        <f t="shared" si="15"/>
        <v/>
      </c>
      <c r="G476" s="20"/>
      <c r="H476" s="200" t="s">
        <v>1627</v>
      </c>
      <c r="I476" s="29"/>
      <c r="J476" s="29"/>
      <c r="K476" s="30"/>
    </row>
    <row r="477" spans="1:11" ht="49.5" customHeight="1" x14ac:dyDescent="0.25">
      <c r="A477" s="31" t="s">
        <v>432</v>
      </c>
      <c r="B477" s="32" t="s">
        <v>439</v>
      </c>
      <c r="C477" s="33" t="s">
        <v>34</v>
      </c>
      <c r="D477" s="67" t="s">
        <v>35</v>
      </c>
      <c r="E477" s="35" t="s">
        <v>34</v>
      </c>
      <c r="F477" s="36" t="str">
        <f t="shared" si="15"/>
        <v/>
      </c>
      <c r="G477" s="20"/>
      <c r="H477" s="199" t="s">
        <v>1627</v>
      </c>
      <c r="I477" s="37"/>
      <c r="J477" s="37"/>
      <c r="K477" s="38"/>
    </row>
    <row r="478" spans="1:11" ht="49.5" customHeight="1" x14ac:dyDescent="0.25">
      <c r="A478" s="31" t="s">
        <v>417</v>
      </c>
      <c r="B478" s="68" t="s">
        <v>440</v>
      </c>
      <c r="C478" s="25">
        <v>200</v>
      </c>
      <c r="D478" s="65" t="s">
        <v>21</v>
      </c>
      <c r="E478" s="27">
        <v>18</v>
      </c>
      <c r="F478" s="28">
        <f t="shared" si="15"/>
        <v>3600</v>
      </c>
      <c r="G478" s="20"/>
      <c r="H478" s="200" t="s">
        <v>1627</v>
      </c>
      <c r="I478" s="29"/>
      <c r="J478" s="29"/>
      <c r="K478" s="30"/>
    </row>
    <row r="479" spans="1:11" ht="49.5" customHeight="1" x14ac:dyDescent="0.25">
      <c r="A479" s="43" t="s">
        <v>30</v>
      </c>
      <c r="B479" s="44" t="s">
        <v>37</v>
      </c>
      <c r="C479" s="45">
        <v>70.180000000000007</v>
      </c>
      <c r="D479" s="46" t="s">
        <v>32</v>
      </c>
      <c r="E479" s="47">
        <v>105</v>
      </c>
      <c r="F479" s="48">
        <f>IF(AND(ISNUMBER($C479),ISNUMBER($E479)),$C479*$E479,"")</f>
        <v>7368.9000000000005</v>
      </c>
      <c r="G479" s="20"/>
      <c r="H479" s="203" t="s">
        <v>1627</v>
      </c>
      <c r="I479" s="49"/>
      <c r="J479" s="49"/>
      <c r="K479" s="50"/>
    </row>
    <row r="480" spans="1:11" ht="49.5" customHeight="1" x14ac:dyDescent="0.25">
      <c r="A480" s="43" t="s">
        <v>158</v>
      </c>
      <c r="B480" s="44" t="s">
        <v>442</v>
      </c>
      <c r="C480" s="45">
        <v>1241.3</v>
      </c>
      <c r="D480" s="46" t="s">
        <v>23</v>
      </c>
      <c r="E480" s="47">
        <v>3.5</v>
      </c>
      <c r="F480" s="48">
        <f>IF(AND(ISNUMBER($C480),ISNUMBER($E480)),$C480*$E480,"")</f>
        <v>4344.55</v>
      </c>
      <c r="G480" s="20"/>
      <c r="H480" s="278">
        <f>F480</f>
        <v>4344.55</v>
      </c>
      <c r="I480" s="49"/>
      <c r="J480" s="49"/>
      <c r="K480" s="50"/>
    </row>
    <row r="481" spans="1:11" ht="63.75" customHeight="1" x14ac:dyDescent="0.25">
      <c r="A481" s="43" t="s">
        <v>443</v>
      </c>
      <c r="B481" s="44" t="s">
        <v>444</v>
      </c>
      <c r="C481" s="45">
        <v>1365.43</v>
      </c>
      <c r="D481" s="46" t="s">
        <v>23</v>
      </c>
      <c r="E481" s="47">
        <v>0.85</v>
      </c>
      <c r="F481" s="48">
        <f>IF(AND(ISNUMBER($C481),ISNUMBER($E481)),$C481*$E481,"")</f>
        <v>1160.6155000000001</v>
      </c>
      <c r="G481" s="20"/>
      <c r="H481" s="278">
        <f>F481</f>
        <v>1160.6155000000001</v>
      </c>
      <c r="I481" s="49"/>
      <c r="J481" s="49"/>
      <c r="K481" s="50"/>
    </row>
    <row r="482" spans="1:11" ht="78" customHeight="1" x14ac:dyDescent="0.25">
      <c r="A482" s="31" t="s">
        <v>432</v>
      </c>
      <c r="B482" s="68" t="s">
        <v>441</v>
      </c>
      <c r="C482" s="25" t="s">
        <v>34</v>
      </c>
      <c r="D482" s="65" t="s">
        <v>35</v>
      </c>
      <c r="E482" s="27" t="s">
        <v>34</v>
      </c>
      <c r="F482" s="28" t="str">
        <f>IF(AND(ISNUMBER($C482),ISNUMBER($E482)),$C482*$E482,"")</f>
        <v/>
      </c>
      <c r="G482" s="20"/>
      <c r="H482" s="200" t="s">
        <v>1627</v>
      </c>
      <c r="I482" s="29"/>
      <c r="J482" s="29"/>
      <c r="K482" s="30"/>
    </row>
    <row r="483" spans="1:11" ht="78" customHeight="1" x14ac:dyDescent="0.25">
      <c r="A483" s="31" t="s">
        <v>459</v>
      </c>
      <c r="B483" s="32" t="s">
        <v>460</v>
      </c>
      <c r="C483" s="33">
        <v>1</v>
      </c>
      <c r="D483" s="67" t="s">
        <v>19</v>
      </c>
      <c r="E483" s="35">
        <v>2500</v>
      </c>
      <c r="F483" s="36">
        <f>IF(AND(ISNUMBER($C483),ISNUMBER($E483)),$C483*$E483,"")</f>
        <v>2500</v>
      </c>
      <c r="G483" s="20"/>
      <c r="H483" s="201">
        <f>F483</f>
        <v>2500</v>
      </c>
      <c r="I483" s="37"/>
      <c r="J483" s="37"/>
      <c r="K483" s="38"/>
    </row>
    <row r="484" spans="1:11" ht="38.25" x14ac:dyDescent="0.25">
      <c r="A484" s="31" t="s">
        <v>461</v>
      </c>
      <c r="B484" s="68" t="s">
        <v>462</v>
      </c>
      <c r="C484" s="25">
        <v>1</v>
      </c>
      <c r="D484" s="65" t="s">
        <v>19</v>
      </c>
      <c r="E484" s="27">
        <v>1200</v>
      </c>
      <c r="F484" s="28">
        <f>IF(AND(ISNUMBER($C484),ISNUMBER($E484)),$C484*$E484,"")</f>
        <v>1200</v>
      </c>
      <c r="G484" s="20"/>
      <c r="H484" s="202">
        <f>F484</f>
        <v>1200</v>
      </c>
      <c r="I484" s="29" t="str">
        <f>IF(SUM(I468:I483)=0,"-",SUM(I468:I483))</f>
        <v>-</v>
      </c>
      <c r="J484" s="29" t="str">
        <f>IF(SUM(J468:J483)=0,"-",SUM(J468:J483))</f>
        <v>-</v>
      </c>
      <c r="K484" s="30" t="str">
        <f>IF(SUM(K468:K483)=0,"-",SUM(K468:K483))</f>
        <v>-</v>
      </c>
    </row>
    <row r="485" spans="1:11" ht="38.25" x14ac:dyDescent="0.25">
      <c r="A485" s="23" t="s">
        <v>17</v>
      </c>
      <c r="B485" s="24" t="s">
        <v>24</v>
      </c>
      <c r="C485" s="25">
        <v>1</v>
      </c>
      <c r="D485" s="26" t="s">
        <v>19</v>
      </c>
      <c r="E485" s="27">
        <v>5000</v>
      </c>
      <c r="F485" s="28">
        <f>IF(AND(ISNUMBER($C485),ISNUMBER($E485)),$C485*$E485,"")</f>
        <v>5000</v>
      </c>
      <c r="G485" s="20"/>
      <c r="H485" s="200"/>
      <c r="I485" s="29"/>
      <c r="J485" s="29"/>
      <c r="K485" s="30"/>
    </row>
    <row r="486" spans="1:11" ht="39" thickBot="1" x14ac:dyDescent="0.3">
      <c r="A486" s="31" t="s">
        <v>17</v>
      </c>
      <c r="B486" s="32" t="s">
        <v>25</v>
      </c>
      <c r="C486" s="33">
        <v>2</v>
      </c>
      <c r="D486" s="34" t="s">
        <v>26</v>
      </c>
      <c r="E486" s="35">
        <v>450</v>
      </c>
      <c r="F486" s="36">
        <f>IF(AND(ISNUMBER($C486),ISNUMBER($E486)),$C486*$E486,"")</f>
        <v>900</v>
      </c>
      <c r="G486" s="20"/>
      <c r="H486" s="199"/>
      <c r="I486" s="37"/>
      <c r="J486" s="37"/>
      <c r="K486" s="38"/>
    </row>
    <row r="487" spans="1:11" ht="24.75" customHeight="1" thickBot="1" x14ac:dyDescent="0.3">
      <c r="A487" s="213" t="s">
        <v>28</v>
      </c>
      <c r="B487" s="213"/>
      <c r="C487" s="213"/>
      <c r="D487" s="213"/>
      <c r="E487" s="39"/>
      <c r="F487" s="204">
        <f>SUM(F449:F486)</f>
        <v>175530.87531477481</v>
      </c>
      <c r="G487" s="41"/>
      <c r="H487" s="204">
        <f>SUM(H449:H486)</f>
        <v>233765.39031481481</v>
      </c>
      <c r="I487" s="40" t="str">
        <f>IF(SUM(I449:I486)=0,"-",SUM(I449:I486))</f>
        <v>-</v>
      </c>
      <c r="J487" s="40" t="str">
        <f>IF(SUM(J449:J486)=0,"-",SUM(J449:J486))</f>
        <v>-</v>
      </c>
      <c r="K487" s="42" t="str">
        <f>IF(SUM(K449:K486)=0,"-",SUM(K449:K486))</f>
        <v>-</v>
      </c>
    </row>
    <row r="488" spans="1:11" ht="6.75" customHeight="1" thickBot="1" x14ac:dyDescent="0.3"/>
    <row r="489" spans="1:11" ht="18.75" customHeight="1" thickBot="1" x14ac:dyDescent="0.3">
      <c r="A489" s="214" t="s">
        <v>1653</v>
      </c>
      <c r="B489" s="212"/>
      <c r="C489" s="212"/>
      <c r="D489" s="212"/>
      <c r="E489" s="212"/>
      <c r="F489" s="212"/>
      <c r="G489" s="6"/>
      <c r="H489" s="7" t="s">
        <v>12</v>
      </c>
      <c r="I489" s="8" t="s">
        <v>13</v>
      </c>
      <c r="J489" s="8" t="s">
        <v>14</v>
      </c>
      <c r="K489" s="9" t="s">
        <v>15</v>
      </c>
    </row>
    <row r="490" spans="1:11" ht="18.75" customHeight="1" thickBot="1" x14ac:dyDescent="0.3">
      <c r="A490" s="212"/>
      <c r="B490" s="212"/>
      <c r="C490" s="212"/>
      <c r="D490" s="212"/>
      <c r="E490" s="212"/>
      <c r="F490" s="212"/>
      <c r="G490" s="10"/>
      <c r="H490" s="11"/>
      <c r="I490" s="12"/>
      <c r="J490" s="12"/>
      <c r="K490" s="13"/>
    </row>
    <row r="491" spans="1:11" ht="63.75" customHeight="1" x14ac:dyDescent="0.25">
      <c r="A491" s="23" t="s">
        <v>17</v>
      </c>
      <c r="B491" s="24" t="s">
        <v>473</v>
      </c>
      <c r="C491" s="25">
        <v>1</v>
      </c>
      <c r="D491" s="195" t="s">
        <v>1629</v>
      </c>
      <c r="E491" s="27">
        <v>2500</v>
      </c>
      <c r="F491" s="28">
        <f>IF(AND(ISNUMBER($C491),ISNUMBER($E491)),$C491*$E491,"")</f>
        <v>2500</v>
      </c>
      <c r="G491" s="20"/>
      <c r="H491" s="200"/>
      <c r="I491" s="29"/>
      <c r="J491" s="29"/>
      <c r="K491" s="30"/>
    </row>
    <row r="492" spans="1:11" ht="38.25" x14ac:dyDescent="0.25">
      <c r="A492" s="23" t="s">
        <v>17</v>
      </c>
      <c r="B492" s="24" t="s">
        <v>27</v>
      </c>
      <c r="C492" s="25">
        <v>1</v>
      </c>
      <c r="D492" s="26" t="s">
        <v>19</v>
      </c>
      <c r="E492" s="27">
        <v>5000</v>
      </c>
      <c r="F492" s="28">
        <f>IF(AND(ISNUMBER($C492),ISNUMBER($E492)),$C492*$E492,"")</f>
        <v>5000</v>
      </c>
      <c r="G492" s="20"/>
      <c r="H492" s="200"/>
      <c r="I492" s="29"/>
      <c r="J492" s="29"/>
      <c r="K492" s="30"/>
    </row>
    <row r="493" spans="1:11" ht="49.5" customHeight="1" x14ac:dyDescent="0.25">
      <c r="A493" s="23" t="s">
        <v>17</v>
      </c>
      <c r="B493" s="24" t="s">
        <v>471</v>
      </c>
      <c r="C493" s="25">
        <v>2893.74</v>
      </c>
      <c r="D493" s="26" t="s">
        <v>23</v>
      </c>
      <c r="E493" s="27">
        <v>5</v>
      </c>
      <c r="F493" s="28">
        <f>IF(AND(ISNUMBER($C493),ISNUMBER($E493)),$C493*$E493,"")</f>
        <v>14468.699999999999</v>
      </c>
      <c r="G493" s="20"/>
      <c r="H493" s="200"/>
      <c r="I493" s="29"/>
      <c r="J493" s="29"/>
      <c r="K493" s="30"/>
    </row>
    <row r="494" spans="1:11" ht="38.25" x14ac:dyDescent="0.25">
      <c r="A494" s="14" t="s">
        <v>17</v>
      </c>
      <c r="B494" s="15" t="s">
        <v>18</v>
      </c>
      <c r="C494" s="16">
        <v>1</v>
      </c>
      <c r="D494" s="17" t="s">
        <v>19</v>
      </c>
      <c r="E494" s="18">
        <v>3244</v>
      </c>
      <c r="F494" s="19">
        <f>IF(AND(ISNUMBER($C494),ISNUMBER($E494)),$C494*$E494,"")</f>
        <v>3244</v>
      </c>
      <c r="G494" s="20"/>
      <c r="H494" s="245"/>
      <c r="I494" s="21"/>
      <c r="J494" s="21"/>
      <c r="K494" s="22"/>
    </row>
    <row r="495" spans="1:11" ht="51" x14ac:dyDescent="0.25">
      <c r="A495" s="14" t="s">
        <v>17</v>
      </c>
      <c r="B495" s="15" t="s">
        <v>20</v>
      </c>
      <c r="C495" s="16">
        <v>80.260000000000005</v>
      </c>
      <c r="D495" s="17" t="s">
        <v>21</v>
      </c>
      <c r="E495" s="18">
        <v>20</v>
      </c>
      <c r="F495" s="19">
        <f>IF(AND(ISNUMBER($C495),ISNUMBER($E495)),$C495*$E495,"")</f>
        <v>1605.2</v>
      </c>
      <c r="G495" s="20"/>
      <c r="H495" s="245"/>
      <c r="I495" s="21"/>
      <c r="J495" s="21"/>
      <c r="K495" s="22"/>
    </row>
    <row r="496" spans="1:11" ht="39" thickBot="1" x14ac:dyDescent="0.3">
      <c r="A496" s="14" t="s">
        <v>17</v>
      </c>
      <c r="B496" s="15" t="s">
        <v>22</v>
      </c>
      <c r="C496" s="16">
        <v>6171.87</v>
      </c>
      <c r="D496" s="17" t="s">
        <v>23</v>
      </c>
      <c r="E496" s="18">
        <v>1.76212071868008</v>
      </c>
      <c r="F496" s="19">
        <f>IF(AND(ISNUMBER($C496),ISNUMBER($E496)),$C496*$E496,"")</f>
        <v>10875.580000000025</v>
      </c>
      <c r="G496" s="20"/>
      <c r="H496" s="245"/>
      <c r="I496" s="21"/>
      <c r="J496" s="21"/>
      <c r="K496" s="22"/>
    </row>
    <row r="497" spans="1:11" ht="18.75" customHeight="1" thickBot="1" x14ac:dyDescent="0.3">
      <c r="A497" s="213" t="s">
        <v>28</v>
      </c>
      <c r="B497" s="213"/>
      <c r="C497" s="213"/>
      <c r="D497" s="213"/>
      <c r="E497" s="39"/>
      <c r="F497" s="40">
        <f>SUM(F491:F496)</f>
        <v>37693.480000000025</v>
      </c>
      <c r="G497" s="41"/>
      <c r="H497" s="40">
        <f>SUM(H491:H496)</f>
        <v>0</v>
      </c>
      <c r="I497" s="40" t="str">
        <f>IF(SUM(I490:I496)=0,"-",SUM(I490:I496))</f>
        <v>-</v>
      </c>
      <c r="J497" s="40" t="str">
        <f>IF(SUM(J490:J496)=0,"-",SUM(J490:J496))</f>
        <v>-</v>
      </c>
      <c r="K497" s="42" t="str">
        <f>IF(SUM(K490:K496)=0,"-",SUM(K490:K496))</f>
        <v>-</v>
      </c>
    </row>
    <row r="498" spans="1:11" ht="6.75" customHeight="1" thickBot="1" x14ac:dyDescent="0.3"/>
    <row r="499" spans="1:11" ht="18.75" customHeight="1" thickBot="1" x14ac:dyDescent="0.3">
      <c r="A499" s="212" t="s">
        <v>446</v>
      </c>
      <c r="B499" s="212"/>
      <c r="C499" s="212"/>
      <c r="D499" s="212"/>
      <c r="E499" s="212"/>
      <c r="F499" s="212"/>
      <c r="G499" s="6"/>
      <c r="H499" s="287" t="s">
        <v>1862</v>
      </c>
      <c r="I499" s="8" t="s">
        <v>13</v>
      </c>
      <c r="J499" s="8" t="s">
        <v>14</v>
      </c>
      <c r="K499" s="9" t="s">
        <v>15</v>
      </c>
    </row>
    <row r="500" spans="1:11" ht="18.75" customHeight="1" thickBot="1" x14ac:dyDescent="0.3">
      <c r="A500" s="212"/>
      <c r="B500" s="212"/>
      <c r="C500" s="212"/>
      <c r="D500" s="212"/>
      <c r="E500" s="212"/>
      <c r="F500" s="212"/>
      <c r="G500" s="10"/>
      <c r="H500" s="11" t="s">
        <v>1863</v>
      </c>
      <c r="I500" s="12"/>
      <c r="J500" s="12"/>
      <c r="K500" s="13"/>
    </row>
    <row r="501" spans="1:11" ht="105.75" customHeight="1" x14ac:dyDescent="0.25">
      <c r="A501" s="31" t="s">
        <v>432</v>
      </c>
      <c r="B501" s="15" t="s">
        <v>448</v>
      </c>
      <c r="C501" s="16">
        <v>8</v>
      </c>
      <c r="D501" s="17" t="s">
        <v>26</v>
      </c>
      <c r="E501" s="18">
        <v>3500</v>
      </c>
      <c r="F501" s="19">
        <f>IF(AND(ISNUMBER($C501),ISNUMBER($E501)),$C501*$E501,"")</f>
        <v>28000</v>
      </c>
      <c r="G501" s="20"/>
      <c r="H501" s="245">
        <f>C501*2000</f>
        <v>16000</v>
      </c>
      <c r="I501" s="21"/>
      <c r="J501" s="21"/>
      <c r="K501" s="22"/>
    </row>
    <row r="502" spans="1:11" ht="49.5" customHeight="1" x14ac:dyDescent="0.25">
      <c r="A502" s="51" t="s">
        <v>375</v>
      </c>
      <c r="B502" s="15" t="s">
        <v>449</v>
      </c>
      <c r="C502" s="16" t="s">
        <v>34</v>
      </c>
      <c r="D502" s="17" t="s">
        <v>35</v>
      </c>
      <c r="E502" s="18" t="s">
        <v>34</v>
      </c>
      <c r="F502" s="19" t="str">
        <f>IF(AND(ISNUMBER($C502),ISNUMBER($E502)),$C502*$E502,"")</f>
        <v/>
      </c>
      <c r="G502" s="20"/>
      <c r="H502" s="245"/>
      <c r="I502" s="21"/>
      <c r="J502" s="21"/>
      <c r="K502" s="22"/>
    </row>
    <row r="503" spans="1:11" ht="18.75" customHeight="1" x14ac:dyDescent="0.25">
      <c r="A503" s="213" t="s">
        <v>28</v>
      </c>
      <c r="B503" s="213"/>
      <c r="C503" s="213"/>
      <c r="D503" s="213"/>
      <c r="E503" s="39"/>
      <c r="F503" s="40">
        <f>IF(SUM(F501:F502)=0,"-",SUM(F501:F502))</f>
        <v>28000</v>
      </c>
      <c r="G503" s="41"/>
      <c r="H503" s="204">
        <f>IF(SUM(H500:H502)=0,"-",SUM(H500:H502))</f>
        <v>16000</v>
      </c>
      <c r="I503" s="40" t="str">
        <f>IF(SUM(I500:I502)=0,"-",SUM(I500:I502))</f>
        <v>-</v>
      </c>
      <c r="J503" s="40" t="str">
        <f>IF(SUM(J500:J502)=0,"-",SUM(J500:J502))</f>
        <v>-</v>
      </c>
      <c r="K503" s="42" t="str">
        <f>IF(SUM(K500:K502)=0,"-",SUM(K500:K502))</f>
        <v>-</v>
      </c>
    </row>
    <row r="504" spans="1:11" ht="6.75" customHeight="1" thickBot="1" x14ac:dyDescent="0.3"/>
    <row r="505" spans="1:11" ht="18.75" customHeight="1" thickBot="1" x14ac:dyDescent="0.3">
      <c r="A505" s="268" t="s">
        <v>450</v>
      </c>
      <c r="B505" s="269"/>
      <c r="C505" s="269"/>
      <c r="D505" s="269"/>
      <c r="E505" s="269"/>
      <c r="F505" s="270"/>
      <c r="G505" s="177"/>
      <c r="H505" s="7" t="s">
        <v>12</v>
      </c>
      <c r="I505" s="8" t="s">
        <v>13</v>
      </c>
      <c r="J505" s="8" t="s">
        <v>14</v>
      </c>
      <c r="K505" s="9" t="s">
        <v>15</v>
      </c>
    </row>
    <row r="506" spans="1:11" ht="18.75" customHeight="1" thickBot="1" x14ac:dyDescent="0.3">
      <c r="A506" s="271" t="s">
        <v>432</v>
      </c>
      <c r="B506" s="272"/>
      <c r="C506" s="272"/>
      <c r="D506" s="272"/>
      <c r="E506" s="272"/>
      <c r="F506" s="273"/>
      <c r="G506" s="178"/>
      <c r="H506" s="11"/>
      <c r="I506" s="12"/>
      <c r="J506" s="12"/>
      <c r="K506" s="13"/>
    </row>
    <row r="507" spans="1:11" ht="63.75" customHeight="1" x14ac:dyDescent="0.25">
      <c r="A507" s="263" t="s">
        <v>451</v>
      </c>
      <c r="B507" s="264" t="s">
        <v>1635</v>
      </c>
      <c r="C507" s="274">
        <v>3359.29</v>
      </c>
      <c r="D507" s="265" t="s">
        <v>23</v>
      </c>
      <c r="E507" s="266">
        <v>9</v>
      </c>
      <c r="F507" s="267">
        <f>IF(AND(ISNUMBER($C507),ISNUMBER($E507)),$C507*$E507,"")</f>
        <v>30233.61</v>
      </c>
      <c r="G507" s="20"/>
      <c r="H507" s="245"/>
      <c r="I507" s="21"/>
      <c r="J507" s="21"/>
      <c r="K507" s="22"/>
    </row>
    <row r="508" spans="1:11" ht="36" customHeight="1" x14ac:dyDescent="0.25">
      <c r="A508" s="31" t="s">
        <v>451</v>
      </c>
      <c r="B508" s="32" t="s">
        <v>452</v>
      </c>
      <c r="C508" s="275">
        <v>218.2</v>
      </c>
      <c r="D508" s="67" t="s">
        <v>21</v>
      </c>
      <c r="E508" s="35">
        <v>40</v>
      </c>
      <c r="F508" s="36">
        <f>IF(AND(ISNUMBER($C508),ISNUMBER($E508)),$C508*$E508,"")</f>
        <v>8728</v>
      </c>
      <c r="G508" s="20"/>
      <c r="H508" s="199"/>
      <c r="I508" s="37"/>
      <c r="J508" s="37"/>
      <c r="K508" s="38"/>
    </row>
    <row r="509" spans="1:11" ht="78" customHeight="1" x14ac:dyDescent="0.25">
      <c r="A509" s="14" t="s">
        <v>451</v>
      </c>
      <c r="B509" s="15" t="s">
        <v>453</v>
      </c>
      <c r="C509" s="276">
        <v>1885.24</v>
      </c>
      <c r="D509" s="17" t="s">
        <v>23</v>
      </c>
      <c r="E509" s="18">
        <v>42</v>
      </c>
      <c r="F509" s="19">
        <f>IF(AND(ISNUMBER($C509),ISNUMBER($E509)),$C509*$E509,"")</f>
        <v>79180.08</v>
      </c>
      <c r="G509" s="20"/>
      <c r="H509" s="245"/>
      <c r="I509" s="21"/>
      <c r="J509" s="21"/>
      <c r="K509" s="22"/>
    </row>
    <row r="510" spans="1:11" ht="49.5" customHeight="1" x14ac:dyDescent="0.25">
      <c r="A510" s="43" t="s">
        <v>451</v>
      </c>
      <c r="B510" s="44" t="s">
        <v>454</v>
      </c>
      <c r="C510" s="277">
        <v>10.860099999999999</v>
      </c>
      <c r="D510" s="46" t="s">
        <v>32</v>
      </c>
      <c r="E510" s="47">
        <v>1600</v>
      </c>
      <c r="F510" s="48">
        <f>IF(AND(ISNUMBER($C510),ISNUMBER($E510)),$C510*$E510,"")</f>
        <v>17376.16</v>
      </c>
      <c r="G510" s="20"/>
      <c r="H510" s="203"/>
      <c r="I510" s="49"/>
      <c r="J510" s="49"/>
      <c r="K510" s="50"/>
    </row>
    <row r="511" spans="1:11" ht="91.5" customHeight="1" x14ac:dyDescent="0.25">
      <c r="A511" s="43" t="s">
        <v>455</v>
      </c>
      <c r="B511" s="44" t="s">
        <v>456</v>
      </c>
      <c r="C511" s="277">
        <v>30.693300000000001</v>
      </c>
      <c r="D511" s="46" t="s">
        <v>32</v>
      </c>
      <c r="E511" s="47">
        <v>1300</v>
      </c>
      <c r="F511" s="48">
        <f>IF(AND(ISNUMBER($C511),ISNUMBER($E511)),$C511*$E511,"")</f>
        <v>39901.29</v>
      </c>
      <c r="G511" s="20"/>
      <c r="H511" s="203"/>
      <c r="I511" s="49"/>
      <c r="J511" s="49"/>
      <c r="K511" s="50"/>
    </row>
    <row r="512" spans="1:11" ht="49.5" customHeight="1" thickBot="1" x14ac:dyDescent="0.3">
      <c r="A512" s="31" t="s">
        <v>455</v>
      </c>
      <c r="B512" s="32" t="s">
        <v>458</v>
      </c>
      <c r="C512" s="33">
        <v>201.43</v>
      </c>
      <c r="D512" s="67" t="s">
        <v>21</v>
      </c>
      <c r="E512" s="35">
        <v>65</v>
      </c>
      <c r="F512" s="36">
        <f>IF(AND(ISNUMBER($C512),ISNUMBER($E512)),$C512*$E512,"")</f>
        <v>13092.95</v>
      </c>
      <c r="G512" s="20"/>
      <c r="H512" s="199"/>
      <c r="I512" s="37"/>
      <c r="J512" s="37"/>
      <c r="K512" s="38"/>
    </row>
    <row r="513" spans="1:11" ht="18.75" customHeight="1" x14ac:dyDescent="0.25">
      <c r="A513" s="213" t="s">
        <v>28</v>
      </c>
      <c r="B513" s="213"/>
      <c r="C513" s="213"/>
      <c r="D513" s="213"/>
      <c r="E513" s="39"/>
      <c r="F513" s="40">
        <f>IF(SUM(F506:F512)=0,"-",SUM(F506:F512))</f>
        <v>188512.09000000003</v>
      </c>
      <c r="G513" s="41"/>
      <c r="H513" s="204" t="str">
        <f>IF(SUM(H506:H512)=0,"-",SUM(H506:H512))</f>
        <v>-</v>
      </c>
      <c r="I513" s="40" t="str">
        <f>IF(SUM(I506:I512)=0,"-",SUM(I506:I512))</f>
        <v>-</v>
      </c>
      <c r="J513" s="40" t="str">
        <f>IF(SUM(J506:J512)=0,"-",SUM(J506:J512))</f>
        <v>-</v>
      </c>
      <c r="K513" s="42" t="str">
        <f>IF(SUM(K506:K512)=0,"-",SUM(K506:K512))</f>
        <v>-</v>
      </c>
    </row>
    <row r="514" spans="1:11" ht="3.75" customHeight="1" thickBot="1" x14ac:dyDescent="0.3">
      <c r="A514" s="14"/>
    </row>
    <row r="515" spans="1:11" ht="19.5" customHeight="1" thickBot="1" x14ac:dyDescent="0.3">
      <c r="A515" s="223" t="s">
        <v>463</v>
      </c>
      <c r="B515" s="223"/>
      <c r="C515" s="223"/>
      <c r="D515" s="223"/>
      <c r="E515" s="39"/>
      <c r="F515" s="69">
        <f>IF(SUM(F17,F34,F50,F68,F107,F115,F129,F142,F154,F161,F174,F183,F198,F220,F232,F238,F245,F255,F280,F288,F294,F312,F320,F330,F336,F350,F371,F387,F446,F487,F497,F503,F513)=0,"-",SUM(F17,F34,F50,F68,F107,F115,F129,F142,F154,F161,F174,F183,F198,F220,F232,F238,F245,F255,F280,F288,F294,F312,F320,F330,F336,F350,F371,F387,F446,F487,F497,F503,F513))</f>
        <v>4044924.2997720945</v>
      </c>
      <c r="G515" s="244"/>
      <c r="I515" s="244"/>
      <c r="J515" s="244"/>
      <c r="K515" s="244"/>
    </row>
    <row r="516" spans="1:11" ht="18" customHeight="1" x14ac:dyDescent="0.25">
      <c r="A516" s="224" t="s">
        <v>464</v>
      </c>
      <c r="B516" s="224"/>
      <c r="C516" s="224"/>
      <c r="D516" s="224"/>
      <c r="E516" s="71">
        <v>7.4999999999999997E-2</v>
      </c>
      <c r="F516" s="37">
        <f>IF(OR($E516="",SUM(F515)=0),"",ROUND((SUM(F515))*$E516,2))</f>
        <v>303369.32</v>
      </c>
      <c r="G516" s="244"/>
      <c r="I516" s="244"/>
      <c r="J516" s="244"/>
      <c r="K516" s="244"/>
    </row>
    <row r="517" spans="1:11" ht="18" customHeight="1" x14ac:dyDescent="0.25">
      <c r="A517" s="224" t="s">
        <v>465</v>
      </c>
      <c r="B517" s="224"/>
      <c r="C517" s="224"/>
      <c r="D517" s="224"/>
      <c r="E517" s="71">
        <v>0.06</v>
      </c>
      <c r="F517" s="37">
        <f>IF(OR($E517="",SUM(F515)=0),"",ROUND((SUM(F515)+SUM(F516:F516))*$E517,2))</f>
        <v>260897.62</v>
      </c>
      <c r="G517" s="244"/>
      <c r="I517" s="244"/>
      <c r="J517" s="244"/>
      <c r="K517" s="244"/>
    </row>
    <row r="518" spans="1:11" ht="18" customHeight="1" thickBot="1" x14ac:dyDescent="0.3">
      <c r="A518" s="224" t="s">
        <v>466</v>
      </c>
      <c r="B518" s="224"/>
      <c r="C518" s="224"/>
      <c r="D518" s="224"/>
      <c r="E518" s="71">
        <v>2.75E-2</v>
      </c>
      <c r="F518" s="37">
        <f>IF(OR($E518="",SUM(F515)=0),"",ROUND((SUM(F515)+SUM(F516:F517))*$E518,2))</f>
        <v>126752.76</v>
      </c>
      <c r="G518" s="244"/>
      <c r="I518" s="244"/>
      <c r="J518" s="244"/>
      <c r="K518" s="244"/>
    </row>
    <row r="519" spans="1:11" ht="24" customHeight="1" thickBot="1" x14ac:dyDescent="0.3">
      <c r="A519" s="225"/>
      <c r="B519" s="226"/>
      <c r="C519" s="226"/>
      <c r="D519" s="226"/>
      <c r="E519" s="39"/>
      <c r="F519" s="72">
        <f>IF(SUM(F515,F516:F518)=0,"-",ROUND(SUM(F515,F516:F518),2))</f>
        <v>4735944</v>
      </c>
      <c r="G519" s="244"/>
      <c r="I519" s="244"/>
      <c r="J519" s="244"/>
      <c r="K519" s="244"/>
    </row>
    <row r="520" spans="1:11" x14ac:dyDescent="0.25">
      <c r="I520" s="244"/>
      <c r="J520" s="244"/>
      <c r="K520" s="244"/>
    </row>
    <row r="521" spans="1:11" x14ac:dyDescent="0.25">
      <c r="I521" s="244"/>
      <c r="J521" s="244"/>
      <c r="K521" s="244"/>
    </row>
    <row r="522" spans="1:11" x14ac:dyDescent="0.25">
      <c r="I522" s="244"/>
      <c r="J522" s="244"/>
      <c r="K522" s="244"/>
    </row>
    <row r="529" spans="1:11" ht="24" customHeight="1" x14ac:dyDescent="0.25">
      <c r="A529" s="227" t="s">
        <v>468</v>
      </c>
      <c r="B529" s="227"/>
      <c r="C529" s="227"/>
      <c r="D529" s="227"/>
      <c r="E529" s="227"/>
      <c r="F529" s="227"/>
      <c r="G529" s="227"/>
      <c r="H529" s="227"/>
      <c r="I529" s="227"/>
      <c r="J529" s="227"/>
      <c r="K529" s="227"/>
    </row>
    <row r="530" spans="1:11" ht="6.75" customHeight="1" x14ac:dyDescent="0.25"/>
    <row r="531" spans="1:11" ht="18.75" customHeight="1" x14ac:dyDescent="0.25">
      <c r="A531" s="212" t="s">
        <v>469</v>
      </c>
      <c r="B531" s="212"/>
      <c r="C531" s="212"/>
      <c r="D531" s="212"/>
      <c r="E531" s="212"/>
      <c r="F531" s="212"/>
      <c r="G531" s="6"/>
      <c r="H531" s="287" t="s">
        <v>1624</v>
      </c>
      <c r="I531" s="8" t="s">
        <v>13</v>
      </c>
      <c r="J531" s="8" t="s">
        <v>14</v>
      </c>
      <c r="K531" s="9" t="s">
        <v>15</v>
      </c>
    </row>
    <row r="532" spans="1:11" ht="18.75" customHeight="1" x14ac:dyDescent="0.25">
      <c r="A532" s="212"/>
      <c r="B532" s="212"/>
      <c r="C532" s="212"/>
      <c r="D532" s="212"/>
      <c r="E532" s="212"/>
      <c r="F532" s="212"/>
      <c r="G532" s="10"/>
      <c r="H532" s="11">
        <v>63000</v>
      </c>
      <c r="I532" s="12"/>
      <c r="J532" s="12"/>
      <c r="K532" s="13"/>
    </row>
    <row r="533" spans="1:11" ht="38.25" x14ac:dyDescent="0.25">
      <c r="A533" s="14" t="s">
        <v>17</v>
      </c>
      <c r="B533" s="15" t="s">
        <v>470</v>
      </c>
      <c r="C533" s="16">
        <v>3391.41</v>
      </c>
      <c r="D533" s="17" t="s">
        <v>23</v>
      </c>
      <c r="E533" s="18">
        <v>12</v>
      </c>
      <c r="F533" s="19">
        <f>IF(AND(ISNUMBER($C533),ISNUMBER($E533)),$C533*$E533,"")</f>
        <v>40696.92</v>
      </c>
      <c r="G533" s="20"/>
      <c r="H533" s="245" t="s">
        <v>1627</v>
      </c>
      <c r="I533" s="21"/>
      <c r="J533" s="21"/>
      <c r="K533" s="22"/>
    </row>
    <row r="534" spans="1:11" ht="38.25" x14ac:dyDescent="0.25">
      <c r="A534" s="23" t="s">
        <v>17</v>
      </c>
      <c r="B534" s="32" t="s">
        <v>472</v>
      </c>
      <c r="C534" s="33">
        <v>1</v>
      </c>
      <c r="D534" s="34" t="s">
        <v>19</v>
      </c>
      <c r="E534" s="35">
        <v>8000</v>
      </c>
      <c r="F534" s="36">
        <f>IF(AND(ISNUMBER($C534),ISNUMBER($E534)),$C534*$E534,"")</f>
        <v>8000</v>
      </c>
      <c r="G534" s="20"/>
      <c r="H534" s="199"/>
      <c r="I534" s="37"/>
      <c r="J534" s="37"/>
      <c r="K534" s="38"/>
    </row>
    <row r="535" spans="1:11" ht="38.25" x14ac:dyDescent="0.25">
      <c r="A535" s="59" t="s">
        <v>351</v>
      </c>
      <c r="B535" s="60" t="s">
        <v>474</v>
      </c>
      <c r="C535" s="61">
        <v>1</v>
      </c>
      <c r="D535" s="62" t="s">
        <v>19</v>
      </c>
      <c r="E535" s="63">
        <v>2500</v>
      </c>
      <c r="F535" s="64">
        <f>IF(AND(ISNUMBER($C535),ISNUMBER($E535)),$C535*$E535,"")</f>
        <v>2500</v>
      </c>
      <c r="G535" s="20"/>
      <c r="H535" s="201">
        <f>F535</f>
        <v>2500</v>
      </c>
      <c r="I535" s="37"/>
      <c r="J535" s="37"/>
      <c r="K535" s="38"/>
    </row>
    <row r="536" spans="1:11" ht="25.5" x14ac:dyDescent="0.25">
      <c r="A536" s="59" t="s">
        <v>459</v>
      </c>
      <c r="B536" s="60" t="s">
        <v>1891</v>
      </c>
      <c r="C536" s="61">
        <v>1</v>
      </c>
      <c r="D536" s="62" t="s">
        <v>19</v>
      </c>
      <c r="E536" s="63">
        <v>3500</v>
      </c>
      <c r="F536" s="64">
        <f>IF(AND(ISNUMBER($C536),ISNUMBER($E536)),$C536*$E536,"")</f>
        <v>3500</v>
      </c>
      <c r="G536" s="20"/>
      <c r="H536" s="201"/>
      <c r="I536" s="37"/>
      <c r="J536" s="37"/>
      <c r="K536" s="38"/>
    </row>
    <row r="537" spans="1:11" ht="25.5" x14ac:dyDescent="0.25">
      <c r="A537" s="59" t="s">
        <v>432</v>
      </c>
      <c r="B537" s="60" t="s">
        <v>1892</v>
      </c>
      <c r="C537" s="61">
        <v>1</v>
      </c>
      <c r="D537" s="62" t="s">
        <v>19</v>
      </c>
      <c r="E537" s="63">
        <v>7500</v>
      </c>
      <c r="F537" s="64">
        <f>IF(AND(ISNUMBER($C537),ISNUMBER($E537)),$C537*$E537,"")</f>
        <v>7500</v>
      </c>
      <c r="G537" s="20"/>
      <c r="H537" s="201"/>
      <c r="I537" s="37"/>
      <c r="J537" s="37"/>
      <c r="K537" s="38"/>
    </row>
    <row r="538" spans="1:11" ht="26.25" thickBot="1" x14ac:dyDescent="0.3">
      <c r="A538" s="59" t="s">
        <v>1893</v>
      </c>
      <c r="B538" s="60" t="s">
        <v>1894</v>
      </c>
      <c r="C538" s="61">
        <v>1</v>
      </c>
      <c r="D538" s="62" t="s">
        <v>19</v>
      </c>
      <c r="E538" s="63">
        <v>1000</v>
      </c>
      <c r="F538" s="64">
        <f>IF(AND(ISNUMBER($C538),ISNUMBER($E538)),$C538*$E538,"")</f>
        <v>1000</v>
      </c>
      <c r="G538" s="20"/>
      <c r="H538" s="201"/>
      <c r="I538" s="37"/>
      <c r="J538" s="37"/>
      <c r="K538" s="38"/>
    </row>
    <row r="539" spans="1:11" ht="18.75" customHeight="1" thickBot="1" x14ac:dyDescent="0.3">
      <c r="A539" s="232" t="s">
        <v>463</v>
      </c>
      <c r="B539" s="232"/>
      <c r="C539" s="232"/>
      <c r="D539" s="232"/>
      <c r="E539" s="39"/>
      <c r="F539" s="40">
        <f>IF(SUM(F533:F538)=0,"-",SUM(F533:F538))</f>
        <v>63196.92</v>
      </c>
      <c r="G539" s="41"/>
      <c r="H539" s="204">
        <f>IF(SUM(H532:H538)=0,"-",SUM(H532:H538))</f>
        <v>65500</v>
      </c>
      <c r="I539" s="40" t="str">
        <f>IF(SUM(I532:I538)=0,"-",SUM(I532:I538))</f>
        <v>-</v>
      </c>
      <c r="J539" s="40" t="str">
        <f>IF(SUM(J532:J538)=0,"-",SUM(J532:J538))</f>
        <v>-</v>
      </c>
      <c r="K539" s="42" t="str">
        <f>IF(SUM(K532:K538)=0,"-",SUM(K532:K538))</f>
        <v>-</v>
      </c>
    </row>
    <row r="540" spans="1:11" ht="18" customHeight="1" x14ac:dyDescent="0.25">
      <c r="A540" s="233" t="s">
        <v>464</v>
      </c>
      <c r="B540" s="233"/>
      <c r="C540" s="233"/>
      <c r="D540" s="233"/>
      <c r="E540" s="73">
        <f>$E$516</f>
        <v>7.4999999999999997E-2</v>
      </c>
      <c r="F540" s="74">
        <f>IF(OR($E540="",SUM(F539)=0),"",ROUND((SUM(F539))*$E540,2))</f>
        <v>4739.7700000000004</v>
      </c>
      <c r="G540" s="6"/>
      <c r="H540" s="251">
        <f>IF(OR($E540="",SUM(H539)=0),"",ROUND((SUM(H539))*$E540,2))</f>
        <v>4912.5</v>
      </c>
      <c r="I540" s="74" t="str">
        <f>IF(OR($E540="",SUM(I539)=0),"",ROUND((SUM(I539))*$E540,2))</f>
        <v/>
      </c>
      <c r="J540" s="74" t="str">
        <f>IF(OR($E540="",SUM(J539)=0),"",ROUND((SUM(J539))*$E540,2))</f>
        <v/>
      </c>
      <c r="K540" s="75" t="str">
        <f>IF(OR($E540="",SUM(K539)=0),"",ROUND((SUM(K539))*$E540,2))</f>
        <v/>
      </c>
    </row>
    <row r="541" spans="1:11" ht="18" customHeight="1" x14ac:dyDescent="0.25">
      <c r="A541" s="225" t="s">
        <v>465</v>
      </c>
      <c r="B541" s="234"/>
      <c r="C541" s="234"/>
      <c r="D541" s="234"/>
      <c r="E541" s="71">
        <f>$E$517</f>
        <v>0.06</v>
      </c>
      <c r="F541" s="29">
        <f>IF(OR($E541="",SUM(F539)=0),"",ROUND((SUM(F539)+SUM(F540:F540))*$E541,2))</f>
        <v>4076.2</v>
      </c>
      <c r="G541" s="20"/>
      <c r="H541" s="200">
        <f>IF(OR($E541="",SUM(H539)=0),"",ROUND((SUM(H539)+SUM(H540:H540))*$E541,2))</f>
        <v>4224.75</v>
      </c>
      <c r="I541" s="29" t="str">
        <f>IF(OR($E541="",SUM(I539)=0),"",ROUND((SUM(I539)+SUM(I540:I540))*$E541,2))</f>
        <v/>
      </c>
      <c r="J541" s="29" t="str">
        <f>IF(OR($E541="",SUM(J539)=0),"",ROUND((SUM(J539)+SUM(J540:J540))*$E541,2))</f>
        <v/>
      </c>
      <c r="K541" s="30" t="str">
        <f>IF(OR($E541="",SUM(K539)=0),"",ROUND((SUM(K539)+SUM(K540:K540))*$E541,2))</f>
        <v/>
      </c>
    </row>
    <row r="542" spans="1:11" ht="18" customHeight="1" x14ac:dyDescent="0.25">
      <c r="A542" s="234" t="s">
        <v>466</v>
      </c>
      <c r="B542" s="234"/>
      <c r="C542" s="234"/>
      <c r="D542" s="234"/>
      <c r="E542" s="71">
        <f>$E$518</f>
        <v>2.75E-2</v>
      </c>
      <c r="F542" s="29">
        <f>IF(OR($E542="",SUM(F539)=0),"",ROUND((SUM(F539)+SUM(F540:F541))*$E542,2))</f>
        <v>1980.35</v>
      </c>
      <c r="G542" s="20"/>
      <c r="H542" s="200">
        <f>IF(OR($E542="",SUM(H539)=0),"",ROUND((SUM(H539)+SUM(H540:H541))*$E542,2))</f>
        <v>2052.52</v>
      </c>
      <c r="I542" s="29" t="str">
        <f>IF(OR($E542="",SUM(I539)=0),"",ROUND((SUM(I539)+SUM(I540:I541))*$E542,2))</f>
        <v/>
      </c>
      <c r="J542" s="29" t="str">
        <f>IF(OR($E542="",SUM(J539)=0),"",ROUND((SUM(J539)+SUM(J540:J541))*$E542,2))</f>
        <v/>
      </c>
      <c r="K542" s="30" t="str">
        <f>IF(OR($E542="",SUM(K539)=0),"",ROUND((SUM(K539)+SUM(K540:K541))*$E542,2))</f>
        <v/>
      </c>
    </row>
    <row r="543" spans="1:11" ht="19.5" customHeight="1" x14ac:dyDescent="0.25">
      <c r="A543" s="232" t="s">
        <v>475</v>
      </c>
      <c r="B543" s="232"/>
      <c r="C543" s="232"/>
      <c r="D543" s="232"/>
      <c r="E543" s="39"/>
      <c r="F543" s="69">
        <f>IF(SUM(F539,F540:F542)=0,"-",ROUND(SUM(F539,F540:F542),2))</f>
        <v>73993.240000000005</v>
      </c>
      <c r="G543" s="41"/>
      <c r="H543" s="250">
        <f>IF(SUM(H539,H540:H542)=0,"-",ROUND(SUM(H539,H540:H542),2))</f>
        <v>76689.77</v>
      </c>
      <c r="I543" s="69" t="str">
        <f>IF(SUM(I539,I540:I542)=0,"-",ROUND(SUM(I539,I540:I542),2))</f>
        <v>-</v>
      </c>
      <c r="J543" s="69" t="str">
        <f>IF(SUM(J539,J540:J542)=0,"-",ROUND(SUM(J539,J540:J542),2))</f>
        <v>-</v>
      </c>
      <c r="K543" s="70" t="str">
        <f>IF(SUM(K539,K540:K542)=0,"-",ROUND(SUM(K539,K540:K542),2))</f>
        <v>-</v>
      </c>
    </row>
    <row r="544" spans="1:11" ht="6.75" customHeight="1" x14ac:dyDescent="0.25"/>
    <row r="545" spans="1:11" ht="18.75" customHeight="1" x14ac:dyDescent="0.25">
      <c r="A545" s="212" t="s">
        <v>476</v>
      </c>
      <c r="B545" s="212"/>
      <c r="C545" s="212"/>
      <c r="D545" s="212"/>
      <c r="E545" s="212"/>
      <c r="F545" s="212"/>
      <c r="G545" s="6"/>
      <c r="H545" s="7" t="s">
        <v>12</v>
      </c>
      <c r="I545" s="8" t="s">
        <v>13</v>
      </c>
      <c r="J545" s="8" t="s">
        <v>14</v>
      </c>
      <c r="K545" s="9" t="s">
        <v>15</v>
      </c>
    </row>
    <row r="546" spans="1:11" ht="18.75" customHeight="1" x14ac:dyDescent="0.25">
      <c r="A546" s="212"/>
      <c r="B546" s="212"/>
      <c r="C546" s="212"/>
      <c r="D546" s="212"/>
      <c r="E546" s="212"/>
      <c r="F546" s="212"/>
      <c r="G546" s="10"/>
      <c r="H546" s="11"/>
      <c r="I546" s="12"/>
      <c r="J546" s="12"/>
      <c r="K546" s="13"/>
    </row>
    <row r="547" spans="1:11" ht="78" customHeight="1" x14ac:dyDescent="0.25">
      <c r="A547" s="31" t="s">
        <v>432</v>
      </c>
      <c r="B547" s="32" t="s">
        <v>477</v>
      </c>
      <c r="C547" s="33">
        <v>1</v>
      </c>
      <c r="D547" s="206" t="s">
        <v>19</v>
      </c>
      <c r="E547" s="35" t="s">
        <v>34</v>
      </c>
      <c r="F547" s="36" t="str">
        <f>IF(AND(ISNUMBER($C547),ISNUMBER($E547)),$C547*$E547,"")</f>
        <v/>
      </c>
      <c r="G547" s="20"/>
      <c r="H547" s="199"/>
      <c r="I547" s="37"/>
      <c r="J547" s="37"/>
      <c r="K547" s="38"/>
    </row>
    <row r="548" spans="1:11" ht="18.75" customHeight="1" x14ac:dyDescent="0.25">
      <c r="A548" s="232" t="s">
        <v>463</v>
      </c>
      <c r="B548" s="232"/>
      <c r="C548" s="232"/>
      <c r="D548" s="232"/>
      <c r="E548" s="39"/>
      <c r="F548" s="40" t="str">
        <f>IF(SUM(F547:F547)=0,"-",SUM(F547:F547))</f>
        <v>-</v>
      </c>
      <c r="G548" s="41"/>
      <c r="H548" s="204" t="str">
        <f>IF(SUM(H546:H547)=0,"-",SUM(H546:H547))</f>
        <v>-</v>
      </c>
      <c r="I548" s="40" t="str">
        <f>IF(SUM(I546:I547)=0,"-",SUM(I546:I547))</f>
        <v>-</v>
      </c>
      <c r="J548" s="40" t="str">
        <f>IF(SUM(J546:J547)=0,"-",SUM(J546:J547))</f>
        <v>-</v>
      </c>
      <c r="K548" s="42" t="str">
        <f>IF(SUM(K546:K547)=0,"-",SUM(K546:K547))</f>
        <v>-</v>
      </c>
    </row>
    <row r="549" spans="1:11" ht="18" customHeight="1" x14ac:dyDescent="0.25">
      <c r="A549" s="233" t="s">
        <v>464</v>
      </c>
      <c r="B549" s="233"/>
      <c r="C549" s="233"/>
      <c r="D549" s="233"/>
      <c r="E549" s="73">
        <f>$E$516</f>
        <v>7.4999999999999997E-2</v>
      </c>
      <c r="F549" s="74" t="str">
        <f>IF(OR($E549="",SUM(F548)=0),"",ROUND((SUM(F548))*$E549,2))</f>
        <v/>
      </c>
      <c r="G549" s="6"/>
      <c r="H549" s="251" t="str">
        <f>IF(OR($E549="",SUM(H548)=0),"",ROUND((SUM(H548))*$E549,2))</f>
        <v/>
      </c>
      <c r="I549" s="74" t="str">
        <f>IF(OR($E549="",SUM(I548)=0),"",ROUND((SUM(I548))*$E549,2))</f>
        <v/>
      </c>
      <c r="J549" s="74" t="str">
        <f>IF(OR($E549="",SUM(J548)=0),"",ROUND((SUM(J548))*$E549,2))</f>
        <v/>
      </c>
      <c r="K549" s="75" t="str">
        <f>IF(OR($E549="",SUM(K548)=0),"",ROUND((SUM(K548))*$E549,2))</f>
        <v/>
      </c>
    </row>
    <row r="550" spans="1:11" ht="18" customHeight="1" x14ac:dyDescent="0.25">
      <c r="A550" s="234" t="s">
        <v>465</v>
      </c>
      <c r="B550" s="234"/>
      <c r="C550" s="234"/>
      <c r="D550" s="234"/>
      <c r="E550" s="71">
        <f>$E$517</f>
        <v>0.06</v>
      </c>
      <c r="F550" s="29" t="str">
        <f>IF(OR($E550="",SUM(F548)=0),"",ROUND((SUM(F548)+SUM(F549:F549))*$E550,2))</f>
        <v/>
      </c>
      <c r="G550" s="20"/>
      <c r="H550" s="200" t="str">
        <f>IF(OR($E550="",SUM(H548)=0),"",ROUND((SUM(H548)+SUM(H549:H549))*$E550,2))</f>
        <v/>
      </c>
      <c r="I550" s="29" t="str">
        <f>IF(OR($E550="",SUM(I548)=0),"",ROUND((SUM(I548)+SUM(I549:I549))*$E550,2))</f>
        <v/>
      </c>
      <c r="J550" s="29" t="str">
        <f>IF(OR($E550="",SUM(J548)=0),"",ROUND((SUM(J548)+SUM(J549:J549))*$E550,2))</f>
        <v/>
      </c>
      <c r="K550" s="30" t="str">
        <f>IF(OR($E550="",SUM(K548)=0),"",ROUND((SUM(K548)+SUM(K549:K549))*$E550,2))</f>
        <v/>
      </c>
    </row>
    <row r="551" spans="1:11" ht="18" customHeight="1" x14ac:dyDescent="0.25">
      <c r="A551" s="234" t="s">
        <v>466</v>
      </c>
      <c r="B551" s="234"/>
      <c r="C551" s="234"/>
      <c r="D551" s="234"/>
      <c r="E551" s="71">
        <f>$E$518</f>
        <v>2.75E-2</v>
      </c>
      <c r="F551" s="29" t="str">
        <f>IF(OR($E551="",SUM(F548)=0),"",ROUND((SUM(F548)+SUM(F549:F550))*$E551,2))</f>
        <v/>
      </c>
      <c r="G551" s="20"/>
      <c r="H551" s="200" t="str">
        <f>IF(OR($E551="",SUM(H548)=0),"",ROUND((SUM(H548)+SUM(H549:H550))*$E551,2))</f>
        <v/>
      </c>
      <c r="I551" s="29" t="str">
        <f>IF(OR($E551="",SUM(I548)=0),"",ROUND((SUM(I548)+SUM(I549:I550))*$E551,2))</f>
        <v/>
      </c>
      <c r="J551" s="29" t="str">
        <f>IF(OR($E551="",SUM(J548)=0),"",ROUND((SUM(J548)+SUM(J549:J550))*$E551,2))</f>
        <v/>
      </c>
      <c r="K551" s="30" t="str">
        <f>IF(OR($E551="",SUM(K548)=0),"",ROUND((SUM(K548)+SUM(K549:K550))*$E551,2))</f>
        <v/>
      </c>
    </row>
    <row r="552" spans="1:11" ht="19.5" customHeight="1" x14ac:dyDescent="0.25">
      <c r="A552" s="215" t="s">
        <v>475</v>
      </c>
      <c r="B552" s="232"/>
      <c r="C552" s="232"/>
      <c r="D552" s="232"/>
      <c r="E552" s="39"/>
      <c r="F552" s="69" t="str">
        <f>IF(SUM(F548,F549:F551)=0,"-",ROUND(SUM(F548,F549:F551),2))</f>
        <v>-</v>
      </c>
      <c r="G552" s="41"/>
      <c r="H552" s="250" t="str">
        <f>IF(SUM(H548,H549:H551)=0,"-",ROUND(SUM(H548,H549:H551),2))</f>
        <v>-</v>
      </c>
      <c r="I552" s="69" t="str">
        <f>IF(SUM(I548,I549:I551)=0,"-",ROUND(SUM(I548,I549:I551),2))</f>
        <v>-</v>
      </c>
      <c r="J552" s="69" t="str">
        <f>IF(SUM(J548,J549:J551)=0,"-",ROUND(SUM(J548,J549:J551),2))</f>
        <v>-</v>
      </c>
      <c r="K552" s="70" t="str">
        <f>IF(SUM(K548,K549:K551)=0,"-",ROUND(SUM(K548,K549:K551),2))</f>
        <v>-</v>
      </c>
    </row>
    <row r="553" spans="1:11" ht="6.75" customHeight="1" x14ac:dyDescent="0.25"/>
    <row r="554" spans="1:11" ht="18.75" customHeight="1" x14ac:dyDescent="0.25">
      <c r="A554" s="212" t="s">
        <v>478</v>
      </c>
      <c r="B554" s="212"/>
      <c r="C554" s="212"/>
      <c r="D554" s="212"/>
      <c r="E554" s="212"/>
      <c r="F554" s="212"/>
      <c r="G554" s="6"/>
      <c r="H554" s="7" t="s">
        <v>12</v>
      </c>
      <c r="I554" s="8" t="s">
        <v>13</v>
      </c>
      <c r="J554" s="8" t="s">
        <v>14</v>
      </c>
      <c r="K554" s="9" t="s">
        <v>15</v>
      </c>
    </row>
    <row r="555" spans="1:11" ht="18.75" customHeight="1" x14ac:dyDescent="0.25">
      <c r="A555" s="212"/>
      <c r="B555" s="212"/>
      <c r="C555" s="212"/>
      <c r="D555" s="212"/>
      <c r="E555" s="212"/>
      <c r="F555" s="212"/>
      <c r="G555" s="10"/>
      <c r="H555" s="11"/>
      <c r="I555" s="12"/>
      <c r="J555" s="12"/>
      <c r="K555" s="13"/>
    </row>
    <row r="556" spans="1:11" ht="63.75" x14ac:dyDescent="0.25">
      <c r="A556" s="14" t="s">
        <v>479</v>
      </c>
      <c r="B556" s="15" t="s">
        <v>480</v>
      </c>
      <c r="C556" s="16">
        <v>1</v>
      </c>
      <c r="D556" s="17" t="s">
        <v>19</v>
      </c>
      <c r="E556" s="18">
        <v>52174.96</v>
      </c>
      <c r="F556" s="19">
        <f>IF(AND(ISNUMBER($C556),ISNUMBER($E556)),$C556*$E556,"")</f>
        <v>52174.96</v>
      </c>
      <c r="G556" s="20"/>
      <c r="H556" s="245"/>
      <c r="I556" s="21"/>
      <c r="J556" s="21"/>
      <c r="K556" s="22"/>
    </row>
    <row r="557" spans="1:11" ht="25.5" x14ac:dyDescent="0.25">
      <c r="A557" s="162" t="s">
        <v>479</v>
      </c>
      <c r="B557" s="24" t="s">
        <v>481</v>
      </c>
      <c r="C557" s="25" t="s">
        <v>34</v>
      </c>
      <c r="D557" s="26" t="s">
        <v>35</v>
      </c>
      <c r="E557" s="27" t="s">
        <v>34</v>
      </c>
      <c r="F557" s="28" t="str">
        <f>IF(AND(ISNUMBER($C557),ISNUMBER($E557)),$C557*$E557,"")</f>
        <v/>
      </c>
      <c r="G557" s="20"/>
      <c r="H557" s="200"/>
      <c r="I557" s="29"/>
      <c r="J557" s="29"/>
      <c r="K557" s="30"/>
    </row>
    <row r="558" spans="1:11" ht="38.25" x14ac:dyDescent="0.25">
      <c r="A558" s="14" t="s">
        <v>479</v>
      </c>
      <c r="B558" s="15" t="s">
        <v>482</v>
      </c>
      <c r="C558" s="16" t="s">
        <v>34</v>
      </c>
      <c r="D558" s="17" t="s">
        <v>35</v>
      </c>
      <c r="E558" s="18" t="s">
        <v>34</v>
      </c>
      <c r="F558" s="19" t="str">
        <f>IF(AND(ISNUMBER($C558),ISNUMBER($E558)),$C558*$E558,"")</f>
        <v/>
      </c>
      <c r="G558" s="20"/>
      <c r="H558" s="245"/>
      <c r="I558" s="21"/>
      <c r="J558" s="21"/>
      <c r="K558" s="22"/>
    </row>
    <row r="559" spans="1:11" ht="51" x14ac:dyDescent="0.25">
      <c r="A559" s="14" t="s">
        <v>479</v>
      </c>
      <c r="B559" s="15" t="s">
        <v>483</v>
      </c>
      <c r="C559" s="16">
        <v>6</v>
      </c>
      <c r="D559" s="17" t="s">
        <v>26</v>
      </c>
      <c r="E559" s="18">
        <v>2583.3333333333298</v>
      </c>
      <c r="F559" s="19">
        <f>IF(AND(ISNUMBER($C559),ISNUMBER($E559)),$C559*$E559,"")</f>
        <v>15499.999999999978</v>
      </c>
      <c r="G559" s="20"/>
      <c r="H559" s="245"/>
      <c r="I559" s="21"/>
      <c r="J559" s="21"/>
      <c r="K559" s="22"/>
    </row>
    <row r="560" spans="1:11" ht="38.25" x14ac:dyDescent="0.25">
      <c r="A560" s="14" t="s">
        <v>479</v>
      </c>
      <c r="B560" s="15" t="s">
        <v>484</v>
      </c>
      <c r="C560" s="16">
        <v>1</v>
      </c>
      <c r="D560" s="17" t="s">
        <v>26</v>
      </c>
      <c r="E560" s="18">
        <v>6000</v>
      </c>
      <c r="F560" s="19">
        <f>IF(AND(ISNUMBER($C560),ISNUMBER($E560)),$C560*$E560,"")</f>
        <v>6000</v>
      </c>
      <c r="G560" s="20"/>
      <c r="H560" s="245"/>
      <c r="I560" s="21"/>
      <c r="J560" s="21"/>
      <c r="K560" s="22"/>
    </row>
    <row r="561" spans="1:11" ht="38.25" x14ac:dyDescent="0.25">
      <c r="A561" s="14" t="s">
        <v>479</v>
      </c>
      <c r="B561" s="15" t="s">
        <v>485</v>
      </c>
      <c r="C561" s="16">
        <v>557.98</v>
      </c>
      <c r="D561" s="17" t="s">
        <v>21</v>
      </c>
      <c r="E561" s="18">
        <v>25</v>
      </c>
      <c r="F561" s="19">
        <f>IF(AND(ISNUMBER($C561),ISNUMBER($E561)),$C561*$E561,"")</f>
        <v>13949.5</v>
      </c>
      <c r="G561" s="20"/>
      <c r="H561" s="245"/>
      <c r="I561" s="21"/>
      <c r="J561" s="21"/>
      <c r="K561" s="22"/>
    </row>
    <row r="562" spans="1:11" ht="38.25" x14ac:dyDescent="0.25">
      <c r="A562" s="31" t="s">
        <v>479</v>
      </c>
      <c r="B562" s="32" t="s">
        <v>486</v>
      </c>
      <c r="C562" s="33" t="s">
        <v>34</v>
      </c>
      <c r="D562" s="34" t="s">
        <v>35</v>
      </c>
      <c r="E562" s="35" t="s">
        <v>34</v>
      </c>
      <c r="F562" s="36" t="str">
        <f>IF(AND(ISNUMBER($C562),ISNUMBER($E562)),$C562*$E562,"")</f>
        <v/>
      </c>
      <c r="G562" s="20"/>
      <c r="H562" s="199"/>
      <c r="I562" s="37"/>
      <c r="J562" s="37"/>
      <c r="K562" s="38"/>
    </row>
    <row r="563" spans="1:11" ht="26.25" thickBot="1" x14ac:dyDescent="0.3">
      <c r="A563" s="31" t="s">
        <v>479</v>
      </c>
      <c r="B563" s="32" t="s">
        <v>487</v>
      </c>
      <c r="C563" s="33" t="s">
        <v>34</v>
      </c>
      <c r="D563" s="34" t="s">
        <v>35</v>
      </c>
      <c r="E563" s="35" t="s">
        <v>34</v>
      </c>
      <c r="F563" s="36" t="str">
        <f>IF(AND(ISNUMBER($C563),ISNUMBER($E563)),$C563*$E563,"")</f>
        <v/>
      </c>
      <c r="G563" s="20"/>
      <c r="H563" s="199"/>
      <c r="I563" s="37"/>
      <c r="J563" s="37"/>
      <c r="K563" s="38"/>
    </row>
    <row r="564" spans="1:11" ht="18.75" customHeight="1" thickBot="1" x14ac:dyDescent="0.3">
      <c r="A564" s="232" t="s">
        <v>463</v>
      </c>
      <c r="B564" s="232"/>
      <c r="C564" s="232"/>
      <c r="D564" s="232"/>
      <c r="E564" s="39"/>
      <c r="F564" s="40">
        <f>IF(SUM(F556:F563)=0,"-",SUM(F556:F563))</f>
        <v>87624.459999999977</v>
      </c>
      <c r="G564" s="41"/>
      <c r="H564" s="204" t="str">
        <f>IF(SUM(H555:H563)=0,"-",SUM(H555:H563))</f>
        <v>-</v>
      </c>
      <c r="I564" s="40" t="str">
        <f>IF(SUM(I555:I563)=0,"-",SUM(I555:I563))</f>
        <v>-</v>
      </c>
      <c r="J564" s="40" t="str">
        <f>IF(SUM(J555:J563)=0,"-",SUM(J555:J563))</f>
        <v>-</v>
      </c>
      <c r="K564" s="42" t="str">
        <f>IF(SUM(K555:K563)=0,"-",SUM(K555:K563))</f>
        <v>-</v>
      </c>
    </row>
    <row r="565" spans="1:11" ht="18" customHeight="1" x14ac:dyDescent="0.25">
      <c r="A565" s="233" t="s">
        <v>464</v>
      </c>
      <c r="B565" s="233"/>
      <c r="C565" s="233"/>
      <c r="D565" s="233"/>
      <c r="E565" s="73">
        <f>$E$516</f>
        <v>7.4999999999999997E-2</v>
      </c>
      <c r="F565" s="74">
        <f>IF(OR($E565="",SUM(F564)=0),"",ROUND((SUM(F564))*$E565,2))</f>
        <v>6571.83</v>
      </c>
      <c r="G565" s="6"/>
      <c r="H565" s="251" t="str">
        <f>IF(OR($E565="",SUM(H564)=0),"",ROUND((SUM(H564))*$E565,2))</f>
        <v/>
      </c>
      <c r="I565" s="74" t="str">
        <f>IF(OR($E565="",SUM(I564)=0),"",ROUND((SUM(I564))*$E565,2))</f>
        <v/>
      </c>
      <c r="J565" s="74" t="str">
        <f>IF(OR($E565="",SUM(J564)=0),"",ROUND((SUM(J564))*$E565,2))</f>
        <v/>
      </c>
      <c r="K565" s="75" t="str">
        <f>IF(OR($E565="",SUM(K564)=0),"",ROUND((SUM(K564))*$E565,2))</f>
        <v/>
      </c>
    </row>
    <row r="566" spans="1:11" ht="18" customHeight="1" x14ac:dyDescent="0.25">
      <c r="A566" s="234" t="s">
        <v>465</v>
      </c>
      <c r="B566" s="234"/>
      <c r="C566" s="234"/>
      <c r="D566" s="234"/>
      <c r="E566" s="71">
        <f>$E$517</f>
        <v>0.06</v>
      </c>
      <c r="F566" s="29">
        <f>IF(OR($E566="",SUM(F564)=0),"",ROUND((SUM(F564)+SUM(F565:F565))*$E566,2))</f>
        <v>5651.78</v>
      </c>
      <c r="G566" s="20"/>
      <c r="H566" s="200" t="str">
        <f>IF(OR($E566="",SUM(H564)=0),"",ROUND((SUM(H564)+SUM(H565:H565))*$E566,2))</f>
        <v/>
      </c>
      <c r="I566" s="29" t="str">
        <f>IF(OR($E566="",SUM(I564)=0),"",ROUND((SUM(I564)+SUM(I565:I565))*$E566,2))</f>
        <v/>
      </c>
      <c r="J566" s="29" t="str">
        <f>IF(OR($E566="",SUM(J564)=0),"",ROUND((SUM(J564)+SUM(J565:J565))*$E566,2))</f>
        <v/>
      </c>
      <c r="K566" s="30" t="str">
        <f>IF(OR($E566="",SUM(K564)=0),"",ROUND((SUM(K564)+SUM(K565:K565))*$E566,2))</f>
        <v/>
      </c>
    </row>
    <row r="567" spans="1:11" ht="18" customHeight="1" x14ac:dyDescent="0.25">
      <c r="A567" s="234" t="s">
        <v>466</v>
      </c>
      <c r="B567" s="234"/>
      <c r="C567" s="234"/>
      <c r="D567" s="234"/>
      <c r="E567" s="71">
        <f>$E$518</f>
        <v>2.75E-2</v>
      </c>
      <c r="F567" s="29">
        <f>IF(OR($E567="",SUM(F564)=0),"",ROUND((SUM(F564)+SUM(F565:F566))*$E567,2))</f>
        <v>2745.82</v>
      </c>
      <c r="G567" s="20"/>
      <c r="H567" s="200" t="str">
        <f>IF(OR($E567="",SUM(H564)=0),"",ROUND((SUM(H564)+SUM(H565:H566))*$E567,2))</f>
        <v/>
      </c>
      <c r="I567" s="29" t="str">
        <f>IF(OR($E567="",SUM(I564)=0),"",ROUND((SUM(I564)+SUM(I565:I566))*$E567,2))</f>
        <v/>
      </c>
      <c r="J567" s="29" t="str">
        <f>IF(OR($E567="",SUM(J564)=0),"",ROUND((SUM(J564)+SUM(J565:J566))*$E567,2))</f>
        <v/>
      </c>
      <c r="K567" s="30" t="str">
        <f>IF(OR($E567="",SUM(K564)=0),"",ROUND((SUM(K564)+SUM(K565:K566))*$E567,2))</f>
        <v/>
      </c>
    </row>
    <row r="568" spans="1:11" ht="19.5" customHeight="1" x14ac:dyDescent="0.25">
      <c r="A568" s="232" t="s">
        <v>475</v>
      </c>
      <c r="B568" s="232"/>
      <c r="C568" s="232"/>
      <c r="D568" s="232"/>
      <c r="E568" s="39"/>
      <c r="F568" s="69">
        <f>IF(SUM(F564,F565:F567)=0,"-",ROUND(SUM(F564,F565:F567),2))</f>
        <v>102593.89</v>
      </c>
      <c r="G568" s="41"/>
      <c r="H568" s="250" t="str">
        <f>IF(SUM(H564,H565:H567)=0,"-",ROUND(SUM(H564,H565:H567),2))</f>
        <v>-</v>
      </c>
      <c r="I568" s="69" t="str">
        <f>IF(SUM(I564,I565:I567)=0,"-",ROUND(SUM(I564,I565:I567),2))</f>
        <v>-</v>
      </c>
      <c r="J568" s="69" t="str">
        <f>IF(SUM(J564,J565:J567)=0,"-",ROUND(SUM(J564,J565:J567),2))</f>
        <v>-</v>
      </c>
      <c r="K568" s="70" t="str">
        <f>IF(SUM(K564,K565:K567)=0,"-",ROUND(SUM(K564,K565:K567),2))</f>
        <v>-</v>
      </c>
    </row>
    <row r="569" spans="1:11" ht="6.75" customHeight="1" x14ac:dyDescent="0.25"/>
    <row r="570" spans="1:11" ht="18.75" customHeight="1" x14ac:dyDescent="0.25">
      <c r="A570" s="212" t="s">
        <v>488</v>
      </c>
      <c r="B570" s="212"/>
      <c r="C570" s="212"/>
      <c r="D570" s="212"/>
      <c r="E570" s="212"/>
      <c r="F570" s="212"/>
      <c r="G570" s="6"/>
      <c r="H570" s="7" t="s">
        <v>12</v>
      </c>
      <c r="I570" s="8" t="s">
        <v>13</v>
      </c>
      <c r="J570" s="8" t="s">
        <v>14</v>
      </c>
      <c r="K570" s="9" t="s">
        <v>15</v>
      </c>
    </row>
    <row r="571" spans="1:11" ht="18.75" customHeight="1" thickBot="1" x14ac:dyDescent="0.3">
      <c r="A571" s="212"/>
      <c r="B571" s="212"/>
      <c r="C571" s="212"/>
      <c r="D571" s="212"/>
      <c r="E571" s="212"/>
      <c r="F571" s="212"/>
      <c r="G571" s="10"/>
      <c r="H571" s="11"/>
      <c r="I571" s="12"/>
      <c r="J571" s="12"/>
      <c r="K571" s="13"/>
    </row>
    <row r="572" spans="1:11" ht="78" customHeight="1" x14ac:dyDescent="0.25">
      <c r="A572" s="23" t="s">
        <v>479</v>
      </c>
      <c r="B572" s="196" t="s">
        <v>1618</v>
      </c>
      <c r="C572" s="33">
        <f>-(C61+C62)</f>
        <v>-348</v>
      </c>
      <c r="D572" s="34" t="s">
        <v>21</v>
      </c>
      <c r="E572" s="35">
        <f>E61</f>
        <v>480</v>
      </c>
      <c r="F572" s="36">
        <f>IF(AND(ISNUMBER($C572),ISNUMBER($E572)),$C572*$E572,"")</f>
        <v>-167040</v>
      </c>
      <c r="G572" s="20"/>
      <c r="H572" s="199"/>
      <c r="I572" s="37"/>
      <c r="J572" s="37"/>
      <c r="K572" s="38"/>
    </row>
    <row r="573" spans="1:11" ht="78" customHeight="1" thickBot="1" x14ac:dyDescent="0.3">
      <c r="A573" s="23" t="s">
        <v>479</v>
      </c>
      <c r="B573" s="196" t="s">
        <v>1619</v>
      </c>
      <c r="C573" s="33">
        <f>-C572</f>
        <v>348</v>
      </c>
      <c r="D573" s="34" t="s">
        <v>21</v>
      </c>
      <c r="E573" s="35">
        <v>300</v>
      </c>
      <c r="F573" s="36">
        <f>IF(AND(ISNUMBER($C573),ISNUMBER($E573)),$C573*$E573,"")</f>
        <v>104400</v>
      </c>
      <c r="G573" s="20"/>
      <c r="H573" s="199"/>
      <c r="I573" s="37"/>
      <c r="J573" s="37"/>
      <c r="K573" s="38"/>
    </row>
    <row r="574" spans="1:11" ht="18.75" customHeight="1" x14ac:dyDescent="0.25">
      <c r="A574" s="232" t="s">
        <v>463</v>
      </c>
      <c r="B574" s="232"/>
      <c r="C574" s="232"/>
      <c r="D574" s="232"/>
      <c r="E574" s="39"/>
      <c r="F574" s="40">
        <f>IF(SUM(F572:F573)=0,"-",SUM(F572:F573))</f>
        <v>-62640</v>
      </c>
      <c r="G574" s="41"/>
      <c r="H574" s="204" t="str">
        <f>IF(SUM(H571:H573)=0,"-",SUM(H571:H573))</f>
        <v>-</v>
      </c>
      <c r="I574" s="40" t="str">
        <f>IF(SUM(I571:I573)=0,"-",SUM(I571:I573))</f>
        <v>-</v>
      </c>
      <c r="J574" s="40" t="str">
        <f>IF(SUM(J571:J573)=0,"-",SUM(J571:J573))</f>
        <v>-</v>
      </c>
      <c r="K574" s="42" t="str">
        <f>IF(SUM(K571:K573)=0,"-",SUM(K571:K573))</f>
        <v>-</v>
      </c>
    </row>
    <row r="575" spans="1:11" ht="18" customHeight="1" x14ac:dyDescent="0.25">
      <c r="A575" s="233" t="s">
        <v>464</v>
      </c>
      <c r="B575" s="233"/>
      <c r="C575" s="233"/>
      <c r="D575" s="233"/>
      <c r="E575" s="73">
        <f>$E$516</f>
        <v>7.4999999999999997E-2</v>
      </c>
      <c r="F575" s="74">
        <f>IF(OR($E575="",SUM(F574)=0),"",ROUND((SUM(F574))*$E575,2))</f>
        <v>-4698</v>
      </c>
      <c r="G575" s="6"/>
      <c r="H575" s="251" t="str">
        <f>IF(OR($E575="",SUM(H574)=0),"",ROUND((SUM(H574))*$E575,2))</f>
        <v/>
      </c>
      <c r="I575" s="74" t="str">
        <f>IF(OR($E575="",SUM(I574)=0),"",ROUND((SUM(I574))*$E575,2))</f>
        <v/>
      </c>
      <c r="J575" s="74" t="str">
        <f>IF(OR($E575="",SUM(J574)=0),"",ROUND((SUM(J574))*$E575,2))</f>
        <v/>
      </c>
      <c r="K575" s="75" t="str">
        <f>IF(OR($E575="",SUM(K574)=0),"",ROUND((SUM(K574))*$E575,2))</f>
        <v/>
      </c>
    </row>
    <row r="576" spans="1:11" ht="18" customHeight="1" x14ac:dyDescent="0.25">
      <c r="A576" s="234" t="s">
        <v>465</v>
      </c>
      <c r="B576" s="234"/>
      <c r="C576" s="234"/>
      <c r="D576" s="234"/>
      <c r="E576" s="71">
        <f>$E$517</f>
        <v>0.06</v>
      </c>
      <c r="F576" s="29">
        <f>IF(OR($E576="",SUM(F574)=0),"",ROUND((SUM(F574)+SUM(F575:F575))*$E576,2))</f>
        <v>-4040.28</v>
      </c>
      <c r="G576" s="20"/>
      <c r="H576" s="200" t="str">
        <f>IF(OR($E576="",SUM(H574)=0),"",ROUND((SUM(H574)+SUM(H575:H575))*$E576,2))</f>
        <v/>
      </c>
      <c r="I576" s="29" t="str">
        <f>IF(OR($E576="",SUM(I574)=0),"",ROUND((SUM(I574)+SUM(I575:I575))*$E576,2))</f>
        <v/>
      </c>
      <c r="J576" s="29" t="str">
        <f>IF(OR($E576="",SUM(J574)=0),"",ROUND((SUM(J574)+SUM(J575:J575))*$E576,2))</f>
        <v/>
      </c>
      <c r="K576" s="30" t="str">
        <f>IF(OR($E576="",SUM(K574)=0),"",ROUND((SUM(K574)+SUM(K575:K575))*$E576,2))</f>
        <v/>
      </c>
    </row>
    <row r="577" spans="1:11" ht="18" customHeight="1" thickBot="1" x14ac:dyDescent="0.3">
      <c r="A577" s="234" t="s">
        <v>466</v>
      </c>
      <c r="B577" s="234"/>
      <c r="C577" s="234"/>
      <c r="D577" s="234"/>
      <c r="E577" s="71">
        <f>$E$518</f>
        <v>2.75E-2</v>
      </c>
      <c r="F577" s="29">
        <f>IF(OR($E577="",SUM(F574)=0),"",ROUND((SUM(F574)+SUM(F575:F576))*$E577,2))</f>
        <v>-1962.9</v>
      </c>
      <c r="G577" s="20"/>
      <c r="H577" s="200" t="str">
        <f>IF(OR($E577="",SUM(H574)=0),"",ROUND((SUM(H574)+SUM(H575:H576))*$E577,2))</f>
        <v/>
      </c>
      <c r="I577" s="29" t="str">
        <f>IF(OR($E577="",SUM(I574)=0),"",ROUND((SUM(I574)+SUM(I575:I576))*$E577,2))</f>
        <v/>
      </c>
      <c r="J577" s="29" t="str">
        <f>IF(OR($E577="",SUM(J574)=0),"",ROUND((SUM(J574)+SUM(J575:J576))*$E577,2))</f>
        <v/>
      </c>
      <c r="K577" s="30" t="str">
        <f>IF(OR($E577="",SUM(K574)=0),"",ROUND((SUM(K574)+SUM(K575:K576))*$E577,2))</f>
        <v/>
      </c>
    </row>
    <row r="578" spans="1:11" ht="19.5" customHeight="1" thickBot="1" x14ac:dyDescent="0.3">
      <c r="A578" s="344" t="s">
        <v>475</v>
      </c>
      <c r="B578" s="344"/>
      <c r="C578" s="344"/>
      <c r="D578" s="344"/>
      <c r="E578" s="39"/>
      <c r="F578" s="69">
        <f>IF(SUM(F574,F575:F577)=0,"-",ROUND(SUM(F574,F575:F577),2))</f>
        <v>-73341.179999999993</v>
      </c>
      <c r="G578" s="41"/>
      <c r="H578" s="250" t="str">
        <f>IF(SUM(H574,H575:H577)=0,"-",ROUND(SUM(H574,H575:H577),2))</f>
        <v>-</v>
      </c>
      <c r="I578" s="69" t="str">
        <f>IF(SUM(I574,I575:I577)=0,"-",ROUND(SUM(I574,I575:I577),2))</f>
        <v>-</v>
      </c>
      <c r="J578" s="69" t="str">
        <f>IF(SUM(J574,J575:J577)=0,"-",ROUND(SUM(J574,J575:J577),2))</f>
        <v>-</v>
      </c>
      <c r="K578" s="70" t="str">
        <f>IF(SUM(K574,K575:K577)=0,"-",ROUND(SUM(K574,K575:K577),2))</f>
        <v>-</v>
      </c>
    </row>
    <row r="579" spans="1:11" ht="6.75" customHeight="1" thickBot="1" x14ac:dyDescent="0.3"/>
    <row r="580" spans="1:11" ht="18.75" customHeight="1" x14ac:dyDescent="0.25">
      <c r="A580" s="212" t="s">
        <v>489</v>
      </c>
      <c r="B580" s="212"/>
      <c r="C580" s="212"/>
      <c r="D580" s="212"/>
      <c r="E580" s="212"/>
      <c r="F580" s="212"/>
      <c r="G580" s="6"/>
      <c r="H580" s="7" t="s">
        <v>12</v>
      </c>
      <c r="I580" s="8" t="s">
        <v>13</v>
      </c>
      <c r="J580" s="8" t="s">
        <v>14</v>
      </c>
      <c r="K580" s="9" t="s">
        <v>15</v>
      </c>
    </row>
    <row r="581" spans="1:11" ht="18.75" customHeight="1" thickBot="1" x14ac:dyDescent="0.3">
      <c r="A581" s="212"/>
      <c r="B581" s="212"/>
      <c r="C581" s="212"/>
      <c r="D581" s="212"/>
      <c r="E581" s="212"/>
      <c r="F581" s="212"/>
      <c r="G581" s="10"/>
      <c r="H581" s="11"/>
      <c r="I581" s="12"/>
      <c r="J581" s="12"/>
      <c r="K581" s="13"/>
    </row>
    <row r="582" spans="1:11" ht="25.5" x14ac:dyDescent="0.25">
      <c r="A582" s="31" t="s">
        <v>117</v>
      </c>
      <c r="B582" s="32" t="s">
        <v>490</v>
      </c>
      <c r="C582" s="33">
        <v>889.71</v>
      </c>
      <c r="D582" s="34" t="s">
        <v>23</v>
      </c>
      <c r="E582" s="35">
        <v>42</v>
      </c>
      <c r="F582" s="36">
        <f>IF(AND(ISNUMBER($C582),ISNUMBER($E582)),$C582*$E582,"")</f>
        <v>37367.82</v>
      </c>
      <c r="G582" s="20"/>
      <c r="H582" s="199"/>
      <c r="I582" s="37"/>
      <c r="J582" s="37"/>
      <c r="K582" s="38"/>
    </row>
    <row r="583" spans="1:11" ht="38.25" x14ac:dyDescent="0.25">
      <c r="A583" s="31" t="s">
        <v>117</v>
      </c>
      <c r="B583" s="24" t="s">
        <v>491</v>
      </c>
      <c r="C583" s="25">
        <v>1</v>
      </c>
      <c r="D583" s="26" t="s">
        <v>19</v>
      </c>
      <c r="E583" s="27">
        <v>5522</v>
      </c>
      <c r="F583" s="28">
        <f>IF(AND(ISNUMBER($C583),ISNUMBER($E583)),$C583*$E583,"")</f>
        <v>5522</v>
      </c>
      <c r="G583" s="20"/>
      <c r="H583" s="200"/>
      <c r="I583" s="29"/>
      <c r="J583" s="29"/>
      <c r="K583" s="30"/>
    </row>
    <row r="584" spans="1:11" ht="38.25" x14ac:dyDescent="0.25">
      <c r="A584" s="31" t="s">
        <v>117</v>
      </c>
      <c r="B584" s="32" t="s">
        <v>493</v>
      </c>
      <c r="C584" s="33">
        <v>1</v>
      </c>
      <c r="D584" s="34" t="s">
        <v>26</v>
      </c>
      <c r="E584" s="35">
        <v>30000</v>
      </c>
      <c r="F584" s="36">
        <f>IF(AND(ISNUMBER($C584),ISNUMBER($E584)),$C584*$E584,"")</f>
        <v>30000</v>
      </c>
      <c r="G584" s="20"/>
      <c r="H584" s="199"/>
      <c r="I584" s="37"/>
      <c r="J584" s="37"/>
      <c r="K584" s="38"/>
    </row>
    <row r="585" spans="1:11" ht="25.5" x14ac:dyDescent="0.25">
      <c r="A585" s="59" t="s">
        <v>80</v>
      </c>
      <c r="B585" s="60" t="s">
        <v>1887</v>
      </c>
      <c r="C585" s="61">
        <v>1</v>
      </c>
      <c r="D585" s="62" t="s">
        <v>19</v>
      </c>
      <c r="E585" s="63">
        <v>6500</v>
      </c>
      <c r="F585" s="64">
        <f>IF(AND(ISNUMBER($C585),ISNUMBER($E585)),$C585*$E585,"")</f>
        <v>6500</v>
      </c>
      <c r="G585" s="20"/>
      <c r="H585" s="200"/>
      <c r="I585" s="29"/>
      <c r="J585" s="29"/>
      <c r="K585" s="30"/>
    </row>
    <row r="586" spans="1:11" ht="25.5" x14ac:dyDescent="0.25">
      <c r="A586" s="59" t="s">
        <v>1882</v>
      </c>
      <c r="B586" s="60" t="s">
        <v>1888</v>
      </c>
      <c r="C586" s="61">
        <v>1</v>
      </c>
      <c r="D586" s="62" t="s">
        <v>19</v>
      </c>
      <c r="E586" s="63">
        <v>3500</v>
      </c>
      <c r="F586" s="64">
        <f>IF(AND(ISNUMBER($C586),ISNUMBER($E586)),$C586*$E586,"")</f>
        <v>3500</v>
      </c>
      <c r="G586" s="20"/>
      <c r="H586" s="200"/>
      <c r="I586" s="29"/>
      <c r="J586" s="29"/>
      <c r="K586" s="30"/>
    </row>
    <row r="587" spans="1:11" ht="25.5" x14ac:dyDescent="0.25">
      <c r="A587" s="59" t="s">
        <v>316</v>
      </c>
      <c r="B587" s="60" t="s">
        <v>1889</v>
      </c>
      <c r="C587" s="61">
        <v>1</v>
      </c>
      <c r="D587" s="62" t="s">
        <v>19</v>
      </c>
      <c r="E587" s="63">
        <v>3000</v>
      </c>
      <c r="F587" s="64">
        <f>IF(AND(ISNUMBER($C587),ISNUMBER($E587)),$C587*$E587,"")</f>
        <v>3000</v>
      </c>
      <c r="G587" s="20"/>
      <c r="H587" s="200"/>
      <c r="I587" s="29"/>
      <c r="J587" s="29"/>
      <c r="K587" s="30"/>
    </row>
    <row r="588" spans="1:11" ht="26.25" thickBot="1" x14ac:dyDescent="0.3">
      <c r="A588" s="59" t="s">
        <v>351</v>
      </c>
      <c r="B588" s="60" t="s">
        <v>1890</v>
      </c>
      <c r="C588" s="61">
        <v>1</v>
      </c>
      <c r="D588" s="62" t="s">
        <v>19</v>
      </c>
      <c r="E588" s="63">
        <v>4500</v>
      </c>
      <c r="F588" s="64">
        <f>IF(AND(ISNUMBER($C588),ISNUMBER($E588)),$C588*$E588,"")</f>
        <v>4500</v>
      </c>
      <c r="G588" s="20"/>
      <c r="H588" s="200"/>
      <c r="I588" s="29"/>
      <c r="J588" s="29"/>
      <c r="K588" s="30"/>
    </row>
    <row r="589" spans="1:11" ht="18.75" customHeight="1" thickBot="1" x14ac:dyDescent="0.3">
      <c r="A589" s="232" t="s">
        <v>463</v>
      </c>
      <c r="B589" s="232"/>
      <c r="C589" s="232"/>
      <c r="D589" s="232"/>
      <c r="E589" s="39"/>
      <c r="F589" s="40">
        <f>IF(SUM(F582:F588)=0,"-",SUM(F582:F588))</f>
        <v>90389.82</v>
      </c>
      <c r="G589" s="41"/>
      <c r="H589" s="204" t="str">
        <f>IF(SUM(H581:H588)=0,"-",SUM(H581:H588))</f>
        <v>-</v>
      </c>
      <c r="I589" s="40" t="str">
        <f>IF(SUM(I581:I588)=0,"-",SUM(I581:I588))</f>
        <v>-</v>
      </c>
      <c r="J589" s="40" t="str">
        <f>IF(SUM(J581:J588)=0,"-",SUM(J581:J588))</f>
        <v>-</v>
      </c>
      <c r="K589" s="42" t="str">
        <f>IF(SUM(K581:K588)=0,"-",SUM(K581:K588))</f>
        <v>-</v>
      </c>
    </row>
    <row r="590" spans="1:11" ht="18" customHeight="1" x14ac:dyDescent="0.25">
      <c r="A590" s="233" t="s">
        <v>464</v>
      </c>
      <c r="B590" s="233"/>
      <c r="C590" s="233"/>
      <c r="D590" s="233"/>
      <c r="E590" s="73">
        <f>$E$516</f>
        <v>7.4999999999999997E-2</v>
      </c>
      <c r="F590" s="74">
        <f>IF(OR($E590="",SUM(F589)=0),"",ROUND((SUM(F589))*$E590,2))</f>
        <v>6779.24</v>
      </c>
      <c r="G590" s="6"/>
      <c r="H590" s="251" t="str">
        <f>IF(OR($E590="",SUM(H589)=0),"",ROUND((SUM(H589))*$E590,2))</f>
        <v/>
      </c>
      <c r="I590" s="74" t="str">
        <f>IF(OR($E590="",SUM(I589)=0),"",ROUND((SUM(I589))*$E590,2))</f>
        <v/>
      </c>
      <c r="J590" s="74" t="str">
        <f>IF(OR($E590="",SUM(J589)=0),"",ROUND((SUM(J589))*$E590,2))</f>
        <v/>
      </c>
      <c r="K590" s="75" t="str">
        <f>IF(OR($E590="",SUM(K589)=0),"",ROUND((SUM(K589))*$E590,2))</f>
        <v/>
      </c>
    </row>
    <row r="591" spans="1:11" ht="18" customHeight="1" x14ac:dyDescent="0.25">
      <c r="A591" s="234" t="s">
        <v>465</v>
      </c>
      <c r="B591" s="234"/>
      <c r="C591" s="234"/>
      <c r="D591" s="234"/>
      <c r="E591" s="71">
        <f>$E$517</f>
        <v>0.06</v>
      </c>
      <c r="F591" s="29">
        <f>IF(OR($E591="",SUM(F589)=0),"",ROUND((SUM(F589)+SUM(F590:F590))*$E591,2))</f>
        <v>5830.14</v>
      </c>
      <c r="G591" s="20"/>
      <c r="H591" s="200" t="str">
        <f>IF(OR($E591="",SUM(H589)=0),"",ROUND((SUM(H589)+SUM(H590:H590))*$E591,2))</f>
        <v/>
      </c>
      <c r="I591" s="29" t="str">
        <f>IF(OR($E591="",SUM(I589)=0),"",ROUND((SUM(I589)+SUM(I590:I590))*$E591,2))</f>
        <v/>
      </c>
      <c r="J591" s="29" t="str">
        <f>IF(OR($E591="",SUM(J589)=0),"",ROUND((SUM(J589)+SUM(J590:J590))*$E591,2))</f>
        <v/>
      </c>
      <c r="K591" s="30" t="str">
        <f>IF(OR($E591="",SUM(K589)=0),"",ROUND((SUM(K589)+SUM(K590:K590))*$E591,2))</f>
        <v/>
      </c>
    </row>
    <row r="592" spans="1:11" ht="18" customHeight="1" x14ac:dyDescent="0.25">
      <c r="A592" s="215" t="s">
        <v>466</v>
      </c>
      <c r="B592" s="234"/>
      <c r="C592" s="234"/>
      <c r="D592" s="234"/>
      <c r="E592" s="71">
        <f>$E$518</f>
        <v>2.75E-2</v>
      </c>
      <c r="F592" s="29">
        <f>IF(OR($E592="",SUM(F589)=0),"",ROUND((SUM(F589)+SUM(F590:F591))*$E592,2))</f>
        <v>2832.48</v>
      </c>
      <c r="G592" s="20"/>
      <c r="H592" s="200" t="str">
        <f>IF(OR($E592="",SUM(H589)=0),"",ROUND((SUM(H589)+SUM(H590:H591))*$E592,2))</f>
        <v/>
      </c>
      <c r="I592" s="29" t="str">
        <f>IF(OR($E592="",SUM(I589)=0),"",ROUND((SUM(I589)+SUM(I590:I591))*$E592,2))</f>
        <v/>
      </c>
      <c r="J592" s="29" t="str">
        <f>IF(OR($E592="",SUM(J589)=0),"",ROUND((SUM(J589)+SUM(J590:J591))*$E592,2))</f>
        <v/>
      </c>
      <c r="K592" s="30" t="str">
        <f>IF(OR($E592="",SUM(K589)=0),"",ROUND((SUM(K589)+SUM(K590:K591))*$E592,2))</f>
        <v/>
      </c>
    </row>
    <row r="593" spans="1:11" ht="19.5" customHeight="1" x14ac:dyDescent="0.25">
      <c r="A593" s="232" t="s">
        <v>475</v>
      </c>
      <c r="B593" s="232"/>
      <c r="C593" s="232"/>
      <c r="D593" s="232"/>
      <c r="E593" s="39"/>
      <c r="F593" s="69">
        <f>IF(SUM(F589,F590:F592)=0,"-",ROUND(SUM(F589,F590:F592),2))</f>
        <v>105831.67999999999</v>
      </c>
      <c r="G593" s="41"/>
      <c r="H593" s="250" t="str">
        <f>IF(SUM(H589,H590:H592)=0,"-",ROUND(SUM(H589,H590:H592),2))</f>
        <v>-</v>
      </c>
      <c r="I593" s="69" t="str">
        <f>IF(SUM(I589,I590:I592)=0,"-",ROUND(SUM(I589,I590:I592),2))</f>
        <v>-</v>
      </c>
      <c r="J593" s="69" t="str">
        <f>IF(SUM(J589,J590:J592)=0,"-",ROUND(SUM(J589,J590:J592),2))</f>
        <v>-</v>
      </c>
      <c r="K593" s="70" t="str">
        <f>IF(SUM(K589,K590:K592)=0,"-",ROUND(SUM(K589,K590:K592),2))</f>
        <v>-</v>
      </c>
    </row>
    <row r="594" spans="1:11" ht="6.75" customHeight="1" x14ac:dyDescent="0.25"/>
    <row r="595" spans="1:11" ht="18.75" customHeight="1" x14ac:dyDescent="0.25">
      <c r="A595" s="212" t="s">
        <v>494</v>
      </c>
      <c r="B595" s="212"/>
      <c r="C595" s="212"/>
      <c r="D595" s="212"/>
      <c r="E595" s="212"/>
      <c r="F595" s="212"/>
      <c r="G595" s="6"/>
      <c r="H595" s="7" t="s">
        <v>12</v>
      </c>
      <c r="I595" s="8" t="s">
        <v>13</v>
      </c>
      <c r="J595" s="8" t="s">
        <v>14</v>
      </c>
      <c r="K595" s="9" t="s">
        <v>15</v>
      </c>
    </row>
    <row r="596" spans="1:11" ht="18.75" customHeight="1" thickBot="1" x14ac:dyDescent="0.3">
      <c r="A596" s="212"/>
      <c r="B596" s="212"/>
      <c r="C596" s="212"/>
      <c r="D596" s="212"/>
      <c r="E596" s="212"/>
      <c r="F596" s="212"/>
      <c r="G596" s="10"/>
      <c r="H596" s="11"/>
      <c r="I596" s="12"/>
      <c r="J596" s="12"/>
      <c r="K596" s="13"/>
    </row>
    <row r="597" spans="1:11" ht="51" x14ac:dyDescent="0.25">
      <c r="A597" s="153"/>
      <c r="B597" s="154" t="s">
        <v>1900</v>
      </c>
      <c r="C597" s="155">
        <v>2064.1</v>
      </c>
      <c r="D597" s="156" t="s">
        <v>23</v>
      </c>
      <c r="E597" s="157">
        <v>30</v>
      </c>
      <c r="F597" s="158">
        <f>IF(AND(ISNUMBER($C597),ISNUMBER($E597)),$C597*$E597,"")</f>
        <v>61923</v>
      </c>
      <c r="G597" s="159"/>
      <c r="H597" s="252"/>
      <c r="I597" s="160"/>
      <c r="J597" s="160"/>
      <c r="K597" s="161"/>
    </row>
    <row r="598" spans="1:11" ht="38.25" x14ac:dyDescent="0.25">
      <c r="A598" s="153" t="s">
        <v>495</v>
      </c>
      <c r="B598" s="154" t="s">
        <v>496</v>
      </c>
      <c r="C598" s="155">
        <v>2061.5100000000002</v>
      </c>
      <c r="D598" s="156" t="s">
        <v>23</v>
      </c>
      <c r="E598" s="157">
        <v>5</v>
      </c>
      <c r="F598" s="158">
        <f>IF(AND(ISNUMBER($C598),ISNUMBER($E598)),$C598*$E598,"")</f>
        <v>10307.550000000001</v>
      </c>
      <c r="G598" s="159"/>
      <c r="H598" s="252"/>
      <c r="I598" s="160"/>
      <c r="J598" s="160"/>
      <c r="K598" s="161"/>
    </row>
    <row r="599" spans="1:11" ht="26.25" thickBot="1" x14ac:dyDescent="0.3">
      <c r="A599" s="153" t="s">
        <v>1885</v>
      </c>
      <c r="B599" s="154" t="s">
        <v>1886</v>
      </c>
      <c r="C599" s="155">
        <v>1</v>
      </c>
      <c r="D599" s="156" t="s">
        <v>19</v>
      </c>
      <c r="E599" s="157">
        <v>4500</v>
      </c>
      <c r="F599" s="158">
        <f>IF(AND(ISNUMBER($C599),ISNUMBER($E599)),$C599*$E599,"")</f>
        <v>4500</v>
      </c>
      <c r="G599" s="159"/>
      <c r="H599" s="252"/>
      <c r="I599" s="160"/>
      <c r="J599" s="160"/>
      <c r="K599" s="161"/>
    </row>
    <row r="600" spans="1:11" ht="18.75" customHeight="1" thickBot="1" x14ac:dyDescent="0.3">
      <c r="A600" s="232" t="s">
        <v>463</v>
      </c>
      <c r="B600" s="232"/>
      <c r="C600" s="232"/>
      <c r="D600" s="232"/>
      <c r="E600" s="39"/>
      <c r="F600" s="40">
        <f>IF(SUM(F597:F599)=0,"-",SUM(F597:F599))</f>
        <v>76730.55</v>
      </c>
      <c r="G600" s="41"/>
      <c r="H600" s="204" t="str">
        <f>IF(SUM(H596:H599)=0,"-",SUM(H596:H599))</f>
        <v>-</v>
      </c>
      <c r="I600" s="40" t="str">
        <f>IF(SUM(I596:I599)=0,"-",SUM(I596:I599))</f>
        <v>-</v>
      </c>
      <c r="J600" s="40" t="str">
        <f>IF(SUM(J596:J599)=0,"-",SUM(J596:J599))</f>
        <v>-</v>
      </c>
      <c r="K600" s="42" t="str">
        <f>IF(SUM(K596:K599)=0,"-",SUM(K596:K599))</f>
        <v>-</v>
      </c>
    </row>
    <row r="601" spans="1:11" ht="18" customHeight="1" x14ac:dyDescent="0.25">
      <c r="A601" s="233" t="s">
        <v>464</v>
      </c>
      <c r="B601" s="233"/>
      <c r="C601" s="233"/>
      <c r="D601" s="233"/>
      <c r="E601" s="73">
        <f>$E$516</f>
        <v>7.4999999999999997E-2</v>
      </c>
      <c r="F601" s="74">
        <f>IF(OR($E601="",SUM(F600)=0),"",ROUND((SUM(F600))*$E601,2))</f>
        <v>5754.79</v>
      </c>
      <c r="G601" s="6"/>
      <c r="H601" s="251" t="str">
        <f>IF(OR($E601="",SUM(H600)=0),"",ROUND((SUM(H600))*$E601,2))</f>
        <v/>
      </c>
      <c r="I601" s="74" t="str">
        <f>IF(OR($E601="",SUM(I600)=0),"",ROUND((SUM(I600))*$E601,2))</f>
        <v/>
      </c>
      <c r="J601" s="74" t="str">
        <f>IF(OR($E601="",SUM(J600)=0),"",ROUND((SUM(J600))*$E601,2))</f>
        <v/>
      </c>
      <c r="K601" s="75" t="str">
        <f>IF(OR($E601="",SUM(K600)=0),"",ROUND((SUM(K600))*$E601,2))</f>
        <v/>
      </c>
    </row>
    <row r="602" spans="1:11" ht="18" customHeight="1" x14ac:dyDescent="0.25">
      <c r="A602" s="234" t="s">
        <v>465</v>
      </c>
      <c r="B602" s="234"/>
      <c r="C602" s="234"/>
      <c r="D602" s="234"/>
      <c r="E602" s="71">
        <f>$E$517</f>
        <v>0.06</v>
      </c>
      <c r="F602" s="29">
        <f>IF(OR($E602="",SUM(F600)=0),"",ROUND((SUM(F600)+SUM(F601:F601))*$E602,2))</f>
        <v>4949.12</v>
      </c>
      <c r="G602" s="20"/>
      <c r="H602" s="200" t="str">
        <f>IF(OR($E602="",SUM(H600)=0),"",ROUND((SUM(H600)+SUM(H601:H601))*$E602,2))</f>
        <v/>
      </c>
      <c r="I602" s="29" t="str">
        <f>IF(OR($E602="",SUM(I600)=0),"",ROUND((SUM(I600)+SUM(I601:I601))*$E602,2))</f>
        <v/>
      </c>
      <c r="J602" s="29" t="str">
        <f>IF(OR($E602="",SUM(J600)=0),"",ROUND((SUM(J600)+SUM(J601:J601))*$E602,2))</f>
        <v/>
      </c>
      <c r="K602" s="30" t="str">
        <f>IF(OR($E602="",SUM(K600)=0),"",ROUND((SUM(K600)+SUM(K601:K601))*$E602,2))</f>
        <v/>
      </c>
    </row>
    <row r="603" spans="1:11" ht="18" customHeight="1" x14ac:dyDescent="0.25">
      <c r="A603" s="234" t="s">
        <v>466</v>
      </c>
      <c r="B603" s="234"/>
      <c r="C603" s="234"/>
      <c r="D603" s="234"/>
      <c r="E603" s="71">
        <f>$E$518</f>
        <v>2.75E-2</v>
      </c>
      <c r="F603" s="29">
        <f>IF(OR($E603="",SUM(F600)=0),"",ROUND((SUM(F600)+SUM(F601:F602))*$E603,2))</f>
        <v>2404.4499999999998</v>
      </c>
      <c r="G603" s="20"/>
      <c r="H603" s="200" t="str">
        <f>IF(OR($E603="",SUM(H600)=0),"",ROUND((SUM(H600)+SUM(H601:H602))*$E603,2))</f>
        <v/>
      </c>
      <c r="I603" s="29" t="str">
        <f>IF(OR($E603="",SUM(I600)=0),"",ROUND((SUM(I600)+SUM(I601:I602))*$E603,2))</f>
        <v/>
      </c>
      <c r="J603" s="29" t="str">
        <f>IF(OR($E603="",SUM(J600)=0),"",ROUND((SUM(J600)+SUM(J601:J602))*$E603,2))</f>
        <v/>
      </c>
      <c r="K603" s="30" t="str">
        <f>IF(OR($E603="",SUM(K600)=0),"",ROUND((SUM(K600)+SUM(K601:K602))*$E603,2))</f>
        <v/>
      </c>
    </row>
    <row r="604" spans="1:11" ht="19.5" customHeight="1" x14ac:dyDescent="0.25">
      <c r="A604" s="215" t="s">
        <v>475</v>
      </c>
      <c r="B604" s="232"/>
      <c r="C604" s="232"/>
      <c r="D604" s="232"/>
      <c r="E604" s="39"/>
      <c r="F604" s="69">
        <f>IF(SUM(F600,F601:F603)=0,"-",ROUND(SUM(F600,F601:F603),2))</f>
        <v>89838.91</v>
      </c>
      <c r="G604" s="41"/>
      <c r="H604" s="250" t="str">
        <f>IF(SUM(H600,H601:H603)=0,"-",ROUND(SUM(H600,H601:H603),2))</f>
        <v>-</v>
      </c>
      <c r="I604" s="69" t="str">
        <f>IF(SUM(I600,I601:I603)=0,"-",ROUND(SUM(I600,I601:I603),2))</f>
        <v>-</v>
      </c>
      <c r="J604" s="69" t="str">
        <f>IF(SUM(J600,J601:J603)=0,"-",ROUND(SUM(J600,J601:J603),2))</f>
        <v>-</v>
      </c>
      <c r="K604" s="70" t="str">
        <f>IF(SUM(K600,K601:K603)=0,"-",ROUND(SUM(K600,K601:K603),2))</f>
        <v>-</v>
      </c>
    </row>
    <row r="605" spans="1:11" ht="6.75" customHeight="1" x14ac:dyDescent="0.25"/>
    <row r="606" spans="1:11" ht="18.75" customHeight="1" x14ac:dyDescent="0.25">
      <c r="A606" s="212" t="s">
        <v>497</v>
      </c>
      <c r="B606" s="212"/>
      <c r="C606" s="212"/>
      <c r="D606" s="212"/>
      <c r="E606" s="212"/>
      <c r="F606" s="212"/>
      <c r="G606" s="6"/>
      <c r="H606" s="7" t="s">
        <v>12</v>
      </c>
      <c r="I606" s="8" t="s">
        <v>13</v>
      </c>
      <c r="J606" s="8" t="s">
        <v>14</v>
      </c>
      <c r="K606" s="9" t="s">
        <v>15</v>
      </c>
    </row>
    <row r="607" spans="1:11" ht="18.75" customHeight="1" x14ac:dyDescent="0.25">
      <c r="A607" s="212"/>
      <c r="B607" s="212"/>
      <c r="C607" s="212"/>
      <c r="D607" s="212"/>
      <c r="E607" s="212"/>
      <c r="F607" s="212"/>
      <c r="G607" s="10"/>
      <c r="H607" s="11"/>
      <c r="I607" s="12"/>
      <c r="J607" s="12"/>
      <c r="K607" s="13"/>
    </row>
    <row r="608" spans="1:11" ht="38.25" x14ac:dyDescent="0.25">
      <c r="A608" s="59" t="s">
        <v>498</v>
      </c>
      <c r="B608" s="197" t="s">
        <v>1901</v>
      </c>
      <c r="C608" s="61">
        <v>1</v>
      </c>
      <c r="D608" s="62" t="s">
        <v>19</v>
      </c>
      <c r="E608" s="63">
        <v>46000</v>
      </c>
      <c r="F608" s="64">
        <f>IF(AND(ISNUMBER($C608),ISNUMBER($E608)),$C608*$E608,"")</f>
        <v>46000</v>
      </c>
      <c r="G608" s="20"/>
      <c r="H608" s="199"/>
      <c r="I608" s="37"/>
      <c r="J608" s="37"/>
      <c r="K608" s="38"/>
    </row>
    <row r="609" spans="1:11" ht="25.5" x14ac:dyDescent="0.25">
      <c r="A609" s="59" t="s">
        <v>498</v>
      </c>
      <c r="B609" s="197" t="s">
        <v>1879</v>
      </c>
      <c r="C609" s="61">
        <v>1</v>
      </c>
      <c r="D609" s="62" t="s">
        <v>19</v>
      </c>
      <c r="E609" s="63">
        <v>13000</v>
      </c>
      <c r="F609" s="64">
        <f>IF(AND(ISNUMBER($C609),ISNUMBER($E609)),$C609*$E609,"")</f>
        <v>13000</v>
      </c>
      <c r="G609" s="20"/>
      <c r="H609" s="199"/>
      <c r="I609" s="37"/>
      <c r="J609" s="37"/>
      <c r="K609" s="38"/>
    </row>
    <row r="610" spans="1:11" ht="25.5" x14ac:dyDescent="0.25">
      <c r="A610" s="59" t="s">
        <v>498</v>
      </c>
      <c r="B610" s="197" t="s">
        <v>1880</v>
      </c>
      <c r="C610" s="61">
        <v>1</v>
      </c>
      <c r="D610" s="62" t="s">
        <v>19</v>
      </c>
      <c r="E610" s="63">
        <v>16000</v>
      </c>
      <c r="F610" s="64">
        <f>IF(AND(ISNUMBER($C610),ISNUMBER($E610)),$C610*$E610,"")</f>
        <v>16000</v>
      </c>
      <c r="G610" s="20"/>
      <c r="H610" s="199"/>
      <c r="I610" s="37"/>
      <c r="J610" s="37"/>
      <c r="K610" s="38"/>
    </row>
    <row r="611" spans="1:11" ht="38.25" x14ac:dyDescent="0.25">
      <c r="A611" s="59" t="s">
        <v>351</v>
      </c>
      <c r="B611" s="197" t="s">
        <v>1881</v>
      </c>
      <c r="C611" s="61">
        <v>1</v>
      </c>
      <c r="D611" s="62" t="s">
        <v>19</v>
      </c>
      <c r="E611" s="63">
        <v>10000</v>
      </c>
      <c r="F611" s="64">
        <f>IF(AND(ISNUMBER($C611),ISNUMBER($E611)),$C611*$E611,"")</f>
        <v>10000</v>
      </c>
      <c r="G611" s="20"/>
      <c r="H611" s="199"/>
      <c r="I611" s="37"/>
      <c r="J611" s="37"/>
      <c r="K611" s="38"/>
    </row>
    <row r="612" spans="1:11" ht="25.5" x14ac:dyDescent="0.25">
      <c r="A612" s="59" t="s">
        <v>1882</v>
      </c>
      <c r="B612" s="197" t="s">
        <v>1883</v>
      </c>
      <c r="C612" s="61">
        <v>1</v>
      </c>
      <c r="D612" s="62" t="s">
        <v>19</v>
      </c>
      <c r="E612" s="63">
        <v>4000</v>
      </c>
      <c r="F612" s="64">
        <f>IF(AND(ISNUMBER($C612),ISNUMBER($E612)),$C612*$E612,"")</f>
        <v>4000</v>
      </c>
      <c r="G612" s="20"/>
      <c r="H612" s="199"/>
      <c r="I612" s="37"/>
      <c r="J612" s="37"/>
      <c r="K612" s="38"/>
    </row>
    <row r="613" spans="1:11" ht="25.5" x14ac:dyDescent="0.25">
      <c r="A613" s="59" t="s">
        <v>1873</v>
      </c>
      <c r="B613" s="197" t="s">
        <v>1896</v>
      </c>
      <c r="C613" s="61">
        <v>1</v>
      </c>
      <c r="D613" s="62" t="s">
        <v>19</v>
      </c>
      <c r="E613" s="63">
        <v>2000</v>
      </c>
      <c r="F613" s="64">
        <f>IF(AND(ISNUMBER($C613),ISNUMBER($E613)),$C613*$E613,"")</f>
        <v>2000</v>
      </c>
      <c r="G613" s="20"/>
      <c r="H613" s="199"/>
      <c r="I613" s="37"/>
      <c r="J613" s="37"/>
      <c r="K613" s="38"/>
    </row>
    <row r="614" spans="1:11" ht="26.25" thickBot="1" x14ac:dyDescent="0.3">
      <c r="A614" s="59" t="s">
        <v>498</v>
      </c>
      <c r="B614" s="197" t="s">
        <v>1884</v>
      </c>
      <c r="C614" s="61">
        <v>1</v>
      </c>
      <c r="D614" s="62" t="s">
        <v>19</v>
      </c>
      <c r="E614" s="63">
        <v>2000</v>
      </c>
      <c r="F614" s="64">
        <f>IF(AND(ISNUMBER($C614),ISNUMBER($E614)),$C614*$E614,"")</f>
        <v>2000</v>
      </c>
      <c r="G614" s="20"/>
      <c r="H614" s="199"/>
      <c r="I614" s="37"/>
      <c r="J614" s="37"/>
      <c r="K614" s="38"/>
    </row>
    <row r="615" spans="1:11" ht="18.75" customHeight="1" thickBot="1" x14ac:dyDescent="0.3">
      <c r="A615" s="232" t="s">
        <v>463</v>
      </c>
      <c r="B615" s="232"/>
      <c r="C615" s="232"/>
      <c r="D615" s="232"/>
      <c r="E615" s="39"/>
      <c r="F615" s="40">
        <f>IF(SUM(F608:F614)=0,"-",SUM(F608:F614))</f>
        <v>93000</v>
      </c>
      <c r="G615" s="41"/>
      <c r="H615" s="204" t="str">
        <f>IF(SUM(H607:H614)=0,"-",SUM(H607:H614))</f>
        <v>-</v>
      </c>
      <c r="I615" s="40" t="str">
        <f>IF(SUM(I607:I614)=0,"-",SUM(I607:I614))</f>
        <v>-</v>
      </c>
      <c r="J615" s="40" t="str">
        <f>IF(SUM(J607:J614)=0,"-",SUM(J607:J614))</f>
        <v>-</v>
      </c>
      <c r="K615" s="42" t="str">
        <f>IF(SUM(K607:K614)=0,"-",SUM(K607:K614))</f>
        <v>-</v>
      </c>
    </row>
    <row r="616" spans="1:11" ht="18" customHeight="1" x14ac:dyDescent="0.25">
      <c r="A616" s="233" t="s">
        <v>464</v>
      </c>
      <c r="B616" s="233"/>
      <c r="C616" s="233"/>
      <c r="D616" s="233"/>
      <c r="E616" s="73">
        <f>$E$516</f>
        <v>7.4999999999999997E-2</v>
      </c>
      <c r="F616" s="74">
        <f>IF(OR($E616="",SUM(F615)=0),"",ROUND((SUM(F615))*$E616,2))</f>
        <v>6975</v>
      </c>
      <c r="G616" s="6"/>
      <c r="H616" s="251" t="str">
        <f>IF(OR($E616="",SUM(H615)=0),"",ROUND((SUM(H615))*$E616,2))</f>
        <v/>
      </c>
      <c r="I616" s="74" t="str">
        <f>IF(OR($E616="",SUM(I615)=0),"",ROUND((SUM(I615))*$E616,2))</f>
        <v/>
      </c>
      <c r="J616" s="74" t="str">
        <f>IF(OR($E616="",SUM(J615)=0),"",ROUND((SUM(J615))*$E616,2))</f>
        <v/>
      </c>
      <c r="K616" s="75" t="str">
        <f>IF(OR($E616="",SUM(K615)=0),"",ROUND((SUM(K615))*$E616,2))</f>
        <v/>
      </c>
    </row>
    <row r="617" spans="1:11" ht="18" customHeight="1" x14ac:dyDescent="0.25">
      <c r="A617" s="234" t="s">
        <v>465</v>
      </c>
      <c r="B617" s="234"/>
      <c r="C617" s="234"/>
      <c r="D617" s="234"/>
      <c r="E617" s="71">
        <f>$E$517</f>
        <v>0.06</v>
      </c>
      <c r="F617" s="29">
        <f>IF(OR($E617="",SUM(F615)=0),"",ROUND((SUM(F615)+SUM(F616:F616))*$E617,2))</f>
        <v>5998.5</v>
      </c>
      <c r="G617" s="20"/>
      <c r="H617" s="200" t="str">
        <f>IF(OR($E617="",SUM(H615)=0),"",ROUND((SUM(H615)+SUM(H616:H616))*$E617,2))</f>
        <v/>
      </c>
      <c r="I617" s="29" t="str">
        <f>IF(OR($E617="",SUM(I615)=0),"",ROUND((SUM(I615)+SUM(I616:I616))*$E617,2))</f>
        <v/>
      </c>
      <c r="J617" s="29" t="str">
        <f>IF(OR($E617="",SUM(J615)=0),"",ROUND((SUM(J615)+SUM(J616:J616))*$E617,2))</f>
        <v/>
      </c>
      <c r="K617" s="30" t="str">
        <f>IF(OR($E617="",SUM(K615)=0),"",ROUND((SUM(K615)+SUM(K616:K616))*$E617,2))</f>
        <v/>
      </c>
    </row>
    <row r="618" spans="1:11" ht="18" customHeight="1" x14ac:dyDescent="0.25">
      <c r="A618" s="234" t="s">
        <v>466</v>
      </c>
      <c r="B618" s="234"/>
      <c r="C618" s="234"/>
      <c r="D618" s="234"/>
      <c r="E618" s="71">
        <f>$E$518</f>
        <v>2.75E-2</v>
      </c>
      <c r="F618" s="29">
        <f>IF(OR($E618="",SUM(F615)=0),"",ROUND((SUM(F615)+SUM(F616:F617))*$E618,2))</f>
        <v>2914.27</v>
      </c>
      <c r="G618" s="20"/>
      <c r="H618" s="200" t="str">
        <f>IF(OR($E618="",SUM(H615)=0),"",ROUND((SUM(H615)+SUM(H616:H617))*$E618,2))</f>
        <v/>
      </c>
      <c r="I618" s="29" t="str">
        <f>IF(OR($E618="",SUM(I615)=0),"",ROUND((SUM(I615)+SUM(I616:I617))*$E618,2))</f>
        <v/>
      </c>
      <c r="J618" s="29" t="str">
        <f>IF(OR($E618="",SUM(J615)=0),"",ROUND((SUM(J615)+SUM(J616:J617))*$E618,2))</f>
        <v/>
      </c>
      <c r="K618" s="30" t="str">
        <f>IF(OR($E618="",SUM(K615)=0),"",ROUND((SUM(K615)+SUM(K616:K617))*$E618,2))</f>
        <v/>
      </c>
    </row>
    <row r="619" spans="1:11" ht="19.5" customHeight="1" thickBot="1" x14ac:dyDescent="0.3">
      <c r="A619" s="232" t="s">
        <v>475</v>
      </c>
      <c r="B619" s="232"/>
      <c r="C619" s="232"/>
      <c r="D619" s="232"/>
      <c r="E619" s="39"/>
      <c r="F619" s="69">
        <f>IF(SUM(F615,F616:F618)=0,"-",ROUND(SUM(F615,F616:F618),2))</f>
        <v>108887.77</v>
      </c>
      <c r="G619" s="41"/>
      <c r="H619" s="250" t="str">
        <f>IF(SUM(H615,H616:H618)=0,"-",ROUND(SUM(H615,H616:H618),2))</f>
        <v>-</v>
      </c>
      <c r="I619" s="69" t="str">
        <f>IF(SUM(I615,I616:I618)=0,"-",ROUND(SUM(I615,I616:I618),2))</f>
        <v>-</v>
      </c>
      <c r="J619" s="69" t="str">
        <f>IF(SUM(J615,J616:J618)=0,"-",ROUND(SUM(J615,J616:J618),2))</f>
        <v>-</v>
      </c>
      <c r="K619" s="70" t="str">
        <f>IF(SUM(K615,K616:K618)=0,"-",ROUND(SUM(K615,K616:K618),2))</f>
        <v>-</v>
      </c>
    </row>
    <row r="620" spans="1:11" ht="6.75" customHeight="1" thickBot="1" x14ac:dyDescent="0.3"/>
    <row r="621" spans="1:11" ht="18.75" customHeight="1" thickBot="1" x14ac:dyDescent="0.3">
      <c r="A621" s="212" t="s">
        <v>499</v>
      </c>
      <c r="B621" s="212"/>
      <c r="C621" s="212"/>
      <c r="D621" s="212"/>
      <c r="E621" s="212"/>
      <c r="F621" s="212"/>
      <c r="G621" s="6"/>
      <c r="H621" s="7" t="s">
        <v>12</v>
      </c>
      <c r="I621" s="8" t="s">
        <v>13</v>
      </c>
      <c r="J621" s="8" t="s">
        <v>14</v>
      </c>
      <c r="K621" s="9" t="s">
        <v>15</v>
      </c>
    </row>
    <row r="622" spans="1:11" ht="18.75" customHeight="1" x14ac:dyDescent="0.25">
      <c r="A622" s="212"/>
      <c r="B622" s="212"/>
      <c r="C622" s="212"/>
      <c r="D622" s="212"/>
      <c r="E622" s="212"/>
      <c r="F622" s="212"/>
      <c r="G622" s="10"/>
      <c r="H622" s="11"/>
      <c r="I622" s="12"/>
      <c r="J622" s="12"/>
      <c r="K622" s="13"/>
    </row>
    <row r="623" spans="1:11" ht="38.25" x14ac:dyDescent="0.25">
      <c r="A623" s="59" t="s">
        <v>500</v>
      </c>
      <c r="B623" s="60" t="s">
        <v>1875</v>
      </c>
      <c r="C623" s="61">
        <v>1</v>
      </c>
      <c r="D623" s="62" t="s">
        <v>26</v>
      </c>
      <c r="E623" s="63">
        <v>9500</v>
      </c>
      <c r="F623" s="64">
        <f>IF(AND(ISNUMBER($C623),ISNUMBER($E623)),$C623*$E623,"")</f>
        <v>9500</v>
      </c>
      <c r="G623" s="20"/>
      <c r="H623" s="199"/>
      <c r="I623" s="37"/>
      <c r="J623" s="37"/>
      <c r="K623" s="38"/>
    </row>
    <row r="624" spans="1:11" ht="25.5" x14ac:dyDescent="0.25">
      <c r="A624" s="59" t="s">
        <v>500</v>
      </c>
      <c r="B624" s="60" t="s">
        <v>1876</v>
      </c>
      <c r="C624" s="61">
        <v>1</v>
      </c>
      <c r="D624" s="62" t="s">
        <v>19</v>
      </c>
      <c r="E624" s="63">
        <v>2200</v>
      </c>
      <c r="F624" s="64">
        <f>IF(AND(ISNUMBER($C624),ISNUMBER($E624)),$C624*$E624,"")</f>
        <v>2200</v>
      </c>
      <c r="G624" s="20"/>
      <c r="H624" s="199"/>
      <c r="I624" s="37"/>
      <c r="J624" s="37"/>
      <c r="K624" s="38"/>
    </row>
    <row r="625" spans="1:11" ht="25.5" x14ac:dyDescent="0.25">
      <c r="A625" s="59" t="s">
        <v>351</v>
      </c>
      <c r="B625" s="60" t="s">
        <v>1877</v>
      </c>
      <c r="C625" s="61">
        <v>1</v>
      </c>
      <c r="D625" s="62" t="s">
        <v>19</v>
      </c>
      <c r="E625" s="63">
        <v>4000</v>
      </c>
      <c r="F625" s="64">
        <f>IF(AND(ISNUMBER($C625),ISNUMBER($E625)),$C625*$E625,"")</f>
        <v>4000</v>
      </c>
      <c r="G625" s="20"/>
      <c r="H625" s="199"/>
      <c r="I625" s="37"/>
      <c r="J625" s="37"/>
      <c r="K625" s="38"/>
    </row>
    <row r="626" spans="1:11" ht="39" thickBot="1" x14ac:dyDescent="0.3">
      <c r="A626" s="59" t="s">
        <v>351</v>
      </c>
      <c r="B626" s="60" t="s">
        <v>1878</v>
      </c>
      <c r="C626" s="61">
        <v>1</v>
      </c>
      <c r="D626" s="62" t="s">
        <v>19</v>
      </c>
      <c r="E626" s="63">
        <v>1300</v>
      </c>
      <c r="F626" s="64">
        <f>IF(AND(ISNUMBER($C626),ISNUMBER($E626)),$C626*$E626,"")</f>
        <v>1300</v>
      </c>
      <c r="G626" s="20"/>
      <c r="H626" s="199"/>
      <c r="I626" s="37"/>
      <c r="J626" s="37"/>
      <c r="K626" s="38"/>
    </row>
    <row r="627" spans="1:11" ht="18.75" customHeight="1" thickBot="1" x14ac:dyDescent="0.3">
      <c r="A627" s="232" t="s">
        <v>463</v>
      </c>
      <c r="B627" s="232"/>
      <c r="C627" s="232"/>
      <c r="D627" s="232"/>
      <c r="E627" s="39"/>
      <c r="F627" s="40">
        <f>IF(SUM(F623:F626)=0,"-",SUM(F623:F626))</f>
        <v>17000</v>
      </c>
      <c r="G627" s="41"/>
      <c r="H627" s="204" t="str">
        <f>IF(SUM(H622:H626)=0,"-",SUM(H622:H626))</f>
        <v>-</v>
      </c>
      <c r="I627" s="40" t="str">
        <f>IF(SUM(I622:I626)=0,"-",SUM(I622:I626))</f>
        <v>-</v>
      </c>
      <c r="J627" s="40" t="str">
        <f>IF(SUM(J622:J626)=0,"-",SUM(J622:J626))</f>
        <v>-</v>
      </c>
      <c r="K627" s="42" t="str">
        <f>IF(SUM(K622:K626)=0,"-",SUM(K622:K626))</f>
        <v>-</v>
      </c>
    </row>
    <row r="628" spans="1:11" ht="18" customHeight="1" x14ac:dyDescent="0.25">
      <c r="A628" s="233" t="s">
        <v>464</v>
      </c>
      <c r="B628" s="233"/>
      <c r="C628" s="233"/>
      <c r="D628" s="233"/>
      <c r="E628" s="73">
        <f>$E$516</f>
        <v>7.4999999999999997E-2</v>
      </c>
      <c r="F628" s="74">
        <f>IF(OR($E628="",SUM(F627)=0),"",ROUND((SUM(F627))*$E628,2))</f>
        <v>1275</v>
      </c>
      <c r="G628" s="6"/>
      <c r="H628" s="251" t="str">
        <f>IF(OR($E628="",SUM(H627)=0),"",ROUND((SUM(H627))*$E628,2))</f>
        <v/>
      </c>
      <c r="I628" s="74" t="str">
        <f>IF(OR($E628="",SUM(I627)=0),"",ROUND((SUM(I627))*$E628,2))</f>
        <v/>
      </c>
      <c r="J628" s="74" t="str">
        <f>IF(OR($E628="",SUM(J627)=0),"",ROUND((SUM(J627))*$E628,2))</f>
        <v/>
      </c>
      <c r="K628" s="75" t="str">
        <f>IF(OR($E628="",SUM(K627)=0),"",ROUND((SUM(K627))*$E628,2))</f>
        <v/>
      </c>
    </row>
    <row r="629" spans="1:11" ht="18" customHeight="1" x14ac:dyDescent="0.25">
      <c r="A629" s="232" t="s">
        <v>465</v>
      </c>
      <c r="B629" s="234"/>
      <c r="C629" s="234"/>
      <c r="D629" s="234"/>
      <c r="E629" s="71">
        <f>$E$517</f>
        <v>0.06</v>
      </c>
      <c r="F629" s="29">
        <f>IF(OR($E629="",SUM(F627)=0),"",ROUND((SUM(F627)+SUM(F628:F628))*$E629,2))</f>
        <v>1096.5</v>
      </c>
      <c r="G629" s="20"/>
      <c r="H629" s="200" t="str">
        <f>IF(OR($E629="",SUM(H627)=0),"",ROUND((SUM(H627)+SUM(H628:H628))*$E629,2))</f>
        <v/>
      </c>
      <c r="I629" s="29" t="str">
        <f>IF(OR($E629="",SUM(I627)=0),"",ROUND((SUM(I627)+SUM(I628:I628))*$E629,2))</f>
        <v/>
      </c>
      <c r="J629" s="29" t="str">
        <f>IF(OR($E629="",SUM(J627)=0),"",ROUND((SUM(J627)+SUM(J628:J628))*$E629,2))</f>
        <v/>
      </c>
      <c r="K629" s="30" t="str">
        <f>IF(OR($E629="",SUM(K627)=0),"",ROUND((SUM(K627)+SUM(K628:K628))*$E629,2))</f>
        <v/>
      </c>
    </row>
    <row r="630" spans="1:11" ht="18" customHeight="1" x14ac:dyDescent="0.25">
      <c r="A630" s="234" t="s">
        <v>466</v>
      </c>
      <c r="B630" s="234"/>
      <c r="C630" s="234"/>
      <c r="D630" s="234"/>
      <c r="E630" s="71">
        <f>$E$518</f>
        <v>2.75E-2</v>
      </c>
      <c r="F630" s="29">
        <f>IF(OR($E630="",SUM(F627)=0),"",ROUND((SUM(F627)+SUM(F628:F629))*$E630,2))</f>
        <v>532.72</v>
      </c>
      <c r="G630" s="20"/>
      <c r="H630" s="200" t="str">
        <f>IF(OR($E630="",SUM(H627)=0),"",ROUND((SUM(H627)+SUM(H628:H629))*$E630,2))</f>
        <v/>
      </c>
      <c r="I630" s="29" t="str">
        <f>IF(OR($E630="",SUM(I627)=0),"",ROUND((SUM(I627)+SUM(I628:I629))*$E630,2))</f>
        <v/>
      </c>
      <c r="J630" s="29" t="str">
        <f>IF(OR($E630="",SUM(J627)=0),"",ROUND((SUM(J627)+SUM(J628:J629))*$E630,2))</f>
        <v/>
      </c>
      <c r="K630" s="30" t="str">
        <f>IF(OR($E630="",SUM(K627)=0),"",ROUND((SUM(K627)+SUM(K628:K629))*$E630,2))</f>
        <v/>
      </c>
    </row>
    <row r="631" spans="1:11" ht="19.5" customHeight="1" x14ac:dyDescent="0.25">
      <c r="A631" s="232" t="s">
        <v>475</v>
      </c>
      <c r="B631" s="232"/>
      <c r="C631" s="232"/>
      <c r="D631" s="232"/>
      <c r="E631" s="39"/>
      <c r="F631" s="69">
        <f>IF(SUM(F627,F628:F630)=0,"-",ROUND(SUM(F627,F628:F630),2))</f>
        <v>19904.22</v>
      </c>
      <c r="G631" s="41"/>
      <c r="H631" s="250" t="str">
        <f>IF(SUM(H627,H628:H630)=0,"-",ROUND(SUM(H627,H628:H630),2))</f>
        <v>-</v>
      </c>
      <c r="I631" s="69" t="str">
        <f>IF(SUM(I627,I628:I630)=0,"-",ROUND(SUM(I627,I628:I630),2))</f>
        <v>-</v>
      </c>
      <c r="J631" s="69" t="str">
        <f>IF(SUM(J627,J628:J630)=0,"-",ROUND(SUM(J627,J628:J630),2))</f>
        <v>-</v>
      </c>
      <c r="K631" s="70" t="str">
        <f>IF(SUM(K627,K628:K630)=0,"-",ROUND(SUM(K627,K628:K630),2))</f>
        <v>-</v>
      </c>
    </row>
    <row r="632" spans="1:11" ht="6.75" customHeight="1" x14ac:dyDescent="0.25"/>
    <row r="633" spans="1:11" ht="18.75" customHeight="1" x14ac:dyDescent="0.25">
      <c r="A633" s="212" t="s">
        <v>501</v>
      </c>
      <c r="B633" s="212"/>
      <c r="C633" s="212"/>
      <c r="D633" s="212"/>
      <c r="E633" s="212"/>
      <c r="F633" s="212"/>
      <c r="G633" s="6"/>
      <c r="H633" s="7" t="s">
        <v>12</v>
      </c>
      <c r="I633" s="8" t="s">
        <v>13</v>
      </c>
      <c r="J633" s="8" t="s">
        <v>14</v>
      </c>
      <c r="K633" s="9" t="s">
        <v>15</v>
      </c>
    </row>
    <row r="634" spans="1:11" ht="18.75" customHeight="1" x14ac:dyDescent="0.25">
      <c r="A634" s="232" t="s">
        <v>463</v>
      </c>
      <c r="B634" s="212"/>
      <c r="C634" s="212"/>
      <c r="D634" s="212"/>
      <c r="E634" s="212"/>
      <c r="F634" s="212"/>
      <c r="G634" s="10"/>
      <c r="H634" s="11"/>
      <c r="I634" s="12"/>
      <c r="J634" s="12"/>
      <c r="K634" s="13"/>
    </row>
    <row r="635" spans="1:11" ht="51" x14ac:dyDescent="0.25">
      <c r="A635" s="59" t="s">
        <v>502</v>
      </c>
      <c r="B635" s="60" t="s">
        <v>1864</v>
      </c>
      <c r="C635" s="61">
        <v>1</v>
      </c>
      <c r="D635" s="62" t="s">
        <v>26</v>
      </c>
      <c r="E635" s="63">
        <v>24000</v>
      </c>
      <c r="F635" s="64">
        <f>IF(AND(ISNUMBER($C635),ISNUMBER($E635)),$C635*$E635,"")</f>
        <v>24000</v>
      </c>
      <c r="G635" s="20"/>
      <c r="H635" s="199"/>
      <c r="I635" s="37"/>
      <c r="J635" s="37"/>
      <c r="K635" s="38"/>
    </row>
    <row r="636" spans="1:11" ht="25.5" x14ac:dyDescent="0.25">
      <c r="A636" s="59" t="s">
        <v>1865</v>
      </c>
      <c r="B636" s="60" t="s">
        <v>1866</v>
      </c>
      <c r="C636" s="61">
        <v>1</v>
      </c>
      <c r="D636" s="62" t="s">
        <v>26</v>
      </c>
      <c r="E636" s="63">
        <v>4800</v>
      </c>
      <c r="F636" s="64">
        <f>IF(AND(ISNUMBER($C636),ISNUMBER($E636)),$C636*$E636,"")</f>
        <v>4800</v>
      </c>
      <c r="G636" s="20"/>
      <c r="H636" s="199"/>
      <c r="I636" s="37"/>
      <c r="J636" s="37"/>
      <c r="K636" s="38"/>
    </row>
    <row r="637" spans="1:11" ht="25.5" x14ac:dyDescent="0.25">
      <c r="A637" s="59" t="s">
        <v>502</v>
      </c>
      <c r="B637" s="60" t="s">
        <v>1867</v>
      </c>
      <c r="C637" s="61">
        <v>1</v>
      </c>
      <c r="D637" s="62" t="s">
        <v>19</v>
      </c>
      <c r="E637" s="63">
        <v>3500</v>
      </c>
      <c r="F637" s="64">
        <f>IF(AND(ISNUMBER($C637),ISNUMBER($E637)),$C637*$E637,"")</f>
        <v>3500</v>
      </c>
      <c r="G637" s="20"/>
      <c r="H637" s="199"/>
      <c r="I637" s="37"/>
      <c r="J637" s="37"/>
      <c r="K637" s="38"/>
    </row>
    <row r="638" spans="1:11" ht="25.5" x14ac:dyDescent="0.25">
      <c r="A638" s="59" t="s">
        <v>30</v>
      </c>
      <c r="B638" s="60" t="s">
        <v>1868</v>
      </c>
      <c r="C638" s="61">
        <v>1</v>
      </c>
      <c r="D638" s="62" t="s">
        <v>19</v>
      </c>
      <c r="E638" s="63">
        <v>2800</v>
      </c>
      <c r="F638" s="64">
        <f>IF(AND(ISNUMBER($C638),ISNUMBER($E638)),$C638*$E638,"")</f>
        <v>2800</v>
      </c>
      <c r="G638" s="20"/>
      <c r="H638" s="199"/>
      <c r="I638" s="37"/>
      <c r="J638" s="37"/>
      <c r="K638" s="38"/>
    </row>
    <row r="639" spans="1:11" ht="38.25" x14ac:dyDescent="0.25">
      <c r="A639" s="59" t="s">
        <v>432</v>
      </c>
      <c r="B639" s="60" t="s">
        <v>1869</v>
      </c>
      <c r="C639" s="61">
        <v>100</v>
      </c>
      <c r="D639" s="62" t="s">
        <v>21</v>
      </c>
      <c r="E639" s="63">
        <v>35</v>
      </c>
      <c r="F639" s="64">
        <f>IF(AND(ISNUMBER($C639),ISNUMBER($E639)),$C639*$E639,"")</f>
        <v>3500</v>
      </c>
      <c r="G639" s="20"/>
      <c r="H639" s="199"/>
      <c r="I639" s="37"/>
      <c r="J639" s="37"/>
      <c r="K639" s="38"/>
    </row>
    <row r="640" spans="1:11" ht="38.25" x14ac:dyDescent="0.25">
      <c r="A640" s="59" t="s">
        <v>327</v>
      </c>
      <c r="B640" s="60" t="s">
        <v>1870</v>
      </c>
      <c r="C640" s="61">
        <v>100</v>
      </c>
      <c r="D640" s="62" t="s">
        <v>21</v>
      </c>
      <c r="E640" s="63">
        <v>48</v>
      </c>
      <c r="F640" s="64">
        <f>IF(AND(ISNUMBER($C640),ISNUMBER($E640)),$C640*$E640,"")</f>
        <v>4800</v>
      </c>
      <c r="G640" s="20"/>
      <c r="H640" s="199"/>
      <c r="I640" s="37"/>
      <c r="J640" s="37"/>
      <c r="K640" s="38"/>
    </row>
    <row r="641" spans="1:11" ht="38.25" x14ac:dyDescent="0.25">
      <c r="A641" s="59" t="s">
        <v>351</v>
      </c>
      <c r="B641" s="60" t="s">
        <v>1871</v>
      </c>
      <c r="C641" s="61">
        <v>1</v>
      </c>
      <c r="D641" s="62" t="s">
        <v>19</v>
      </c>
      <c r="E641" s="63">
        <v>12000</v>
      </c>
      <c r="F641" s="64">
        <f>IF(AND(ISNUMBER($C641),ISNUMBER($E641)),$C641*$E641,"")</f>
        <v>12000</v>
      </c>
      <c r="G641" s="20"/>
      <c r="H641" s="199"/>
      <c r="I641" s="37"/>
      <c r="J641" s="37"/>
      <c r="K641" s="38"/>
    </row>
    <row r="642" spans="1:11" ht="25.5" x14ac:dyDescent="0.25">
      <c r="A642" s="59" t="s">
        <v>1865</v>
      </c>
      <c r="B642" s="60" t="s">
        <v>1872</v>
      </c>
      <c r="C642" s="61">
        <v>1</v>
      </c>
      <c r="D642" s="62" t="s">
        <v>19</v>
      </c>
      <c r="E642" s="63">
        <v>2500</v>
      </c>
      <c r="F642" s="64">
        <f>IF(AND(ISNUMBER($C642),ISNUMBER($E642)),$C642*$E642,"")</f>
        <v>2500</v>
      </c>
      <c r="G642" s="20"/>
      <c r="H642" s="199"/>
      <c r="I642" s="37"/>
      <c r="J642" s="37"/>
      <c r="K642" s="38"/>
    </row>
    <row r="643" spans="1:11" ht="26.25" thickBot="1" x14ac:dyDescent="0.3">
      <c r="A643" s="59" t="s">
        <v>1873</v>
      </c>
      <c r="B643" s="60" t="s">
        <v>1897</v>
      </c>
      <c r="C643" s="61">
        <v>1</v>
      </c>
      <c r="D643" s="62" t="s">
        <v>19</v>
      </c>
      <c r="E643" s="63">
        <v>800</v>
      </c>
      <c r="F643" s="64">
        <f>IF(AND(ISNUMBER($C643),ISNUMBER($E643)),$C643*$E643,"")</f>
        <v>800</v>
      </c>
      <c r="G643" s="20"/>
      <c r="H643" s="199"/>
      <c r="I643" s="37"/>
      <c r="J643" s="37"/>
      <c r="K643" s="38"/>
    </row>
    <row r="644" spans="1:11" ht="18.75" customHeight="1" thickBot="1" x14ac:dyDescent="0.3">
      <c r="A644" s="232" t="s">
        <v>463</v>
      </c>
      <c r="B644" s="232"/>
      <c r="C644" s="232"/>
      <c r="D644" s="232"/>
      <c r="E644" s="39"/>
      <c r="F644" s="40">
        <f>IF(SUM(F635:F643)=0,"-",SUM(F635:F643))</f>
        <v>58700</v>
      </c>
      <c r="G644" s="41"/>
      <c r="H644" s="204" t="str">
        <f>IF(SUM(H634:H643)=0,"-",SUM(H634:H643))</f>
        <v>-</v>
      </c>
      <c r="I644" s="40" t="str">
        <f>IF(SUM(I634:I643)=0,"-",SUM(I634:I643))</f>
        <v>-</v>
      </c>
      <c r="J644" s="40" t="str">
        <f>IF(SUM(J634:J643)=0,"-",SUM(J634:J643))</f>
        <v>-</v>
      </c>
      <c r="K644" s="42" t="str">
        <f>IF(SUM(K634:K643)=0,"-",SUM(K634:K643))</f>
        <v>-</v>
      </c>
    </row>
    <row r="645" spans="1:11" ht="18" customHeight="1" x14ac:dyDescent="0.25">
      <c r="A645" s="233" t="s">
        <v>464</v>
      </c>
      <c r="B645" s="233"/>
      <c r="C645" s="233"/>
      <c r="D645" s="233"/>
      <c r="E645" s="73">
        <f>$E$516</f>
        <v>7.4999999999999997E-2</v>
      </c>
      <c r="F645" s="74">
        <f>IF(OR($E645="",SUM(F644)=0),"",ROUND((SUM(F644))*$E645,2))</f>
        <v>4402.5</v>
      </c>
      <c r="G645" s="6"/>
      <c r="H645" s="251" t="str">
        <f>IF(OR($E645="",SUM(H644)=0),"",ROUND((SUM(H644))*$E645,2))</f>
        <v/>
      </c>
      <c r="I645" s="74" t="str">
        <f>IF(OR($E645="",SUM(I644)=0),"",ROUND((SUM(I644))*$E645,2))</f>
        <v/>
      </c>
      <c r="J645" s="74" t="str">
        <f>IF(OR($E645="",SUM(J644)=0),"",ROUND((SUM(J644))*$E645,2))</f>
        <v/>
      </c>
      <c r="K645" s="75" t="str">
        <f>IF(OR($E645="",SUM(K644)=0),"",ROUND((SUM(K644))*$E645,2))</f>
        <v/>
      </c>
    </row>
    <row r="646" spans="1:11" ht="18" customHeight="1" x14ac:dyDescent="0.25">
      <c r="A646" s="234" t="s">
        <v>465</v>
      </c>
      <c r="B646" s="234"/>
      <c r="C646" s="234"/>
      <c r="D646" s="234"/>
      <c r="E646" s="71">
        <f>$E$517</f>
        <v>0.06</v>
      </c>
      <c r="F646" s="29">
        <f>IF(OR($E646="",SUM(F644)=0),"",ROUND((SUM(F644)+SUM(F645:F645))*$E646,2))</f>
        <v>3786.15</v>
      </c>
      <c r="G646" s="20"/>
      <c r="H646" s="200" t="str">
        <f>IF(OR($E646="",SUM(H644)=0),"",ROUND((SUM(H644)+SUM(H645:H645))*$E646,2))</f>
        <v/>
      </c>
      <c r="I646" s="29" t="str">
        <f>IF(OR($E646="",SUM(I644)=0),"",ROUND((SUM(I644)+SUM(I645:I645))*$E646,2))</f>
        <v/>
      </c>
      <c r="J646" s="29" t="str">
        <f>IF(OR($E646="",SUM(J644)=0),"",ROUND((SUM(J644)+SUM(J645:J645))*$E646,2))</f>
        <v/>
      </c>
      <c r="K646" s="30" t="str">
        <f>IF(OR($E646="",SUM(K644)=0),"",ROUND((SUM(K644)+SUM(K645:K645))*$E646,2))</f>
        <v/>
      </c>
    </row>
    <row r="647" spans="1:11" ht="18" customHeight="1" x14ac:dyDescent="0.25">
      <c r="A647" s="225" t="s">
        <v>466</v>
      </c>
      <c r="B647" s="234"/>
      <c r="C647" s="234"/>
      <c r="D647" s="234"/>
      <c r="E647" s="71">
        <f>$E$518</f>
        <v>2.75E-2</v>
      </c>
      <c r="F647" s="29">
        <f>IF(OR($E647="",SUM(F644)=0),"",ROUND((SUM(F644)+SUM(F645:F646))*$E647,2))</f>
        <v>1839.44</v>
      </c>
      <c r="G647" s="20"/>
      <c r="H647" s="200" t="str">
        <f>IF(OR($E647="",SUM(H644)=0),"",ROUND((SUM(H644)+SUM(H645:H646))*$E647,2))</f>
        <v/>
      </c>
      <c r="I647" s="29" t="str">
        <f>IF(OR($E647="",SUM(I644)=0),"",ROUND((SUM(I644)+SUM(I645:I646))*$E647,2))</f>
        <v/>
      </c>
      <c r="J647" s="29" t="str">
        <f>IF(OR($E647="",SUM(J644)=0),"",ROUND((SUM(J644)+SUM(J645:J646))*$E647,2))</f>
        <v/>
      </c>
      <c r="K647" s="30" t="str">
        <f>IF(OR($E647="",SUM(K644)=0),"",ROUND((SUM(K644)+SUM(K645:K646))*$E647,2))</f>
        <v/>
      </c>
    </row>
    <row r="648" spans="1:11" ht="19.5" customHeight="1" x14ac:dyDescent="0.25">
      <c r="A648" s="232" t="s">
        <v>475</v>
      </c>
      <c r="B648" s="232"/>
      <c r="C648" s="232"/>
      <c r="D648" s="232"/>
      <c r="E648" s="39"/>
      <c r="F648" s="69">
        <f>IF(SUM(F644,F645:F647)=0,"-",ROUND(SUM(F644,F645:F647),2))</f>
        <v>68728.09</v>
      </c>
      <c r="G648" s="41"/>
      <c r="H648" s="250" t="str">
        <f>IF(SUM(H644,H645:H647)=0,"-",ROUND(SUM(H644,H645:H647),2))</f>
        <v>-</v>
      </c>
      <c r="I648" s="69" t="str">
        <f>IF(SUM(I644,I645:I647)=0,"-",ROUND(SUM(I644,I645:I647),2))</f>
        <v>-</v>
      </c>
      <c r="J648" s="69" t="str">
        <f>IF(SUM(J644,J645:J647)=0,"-",ROUND(SUM(J644,J645:J647),2))</f>
        <v>-</v>
      </c>
      <c r="K648" s="70" t="str">
        <f>IF(SUM(K644,K645:K647)=0,"-",ROUND(SUM(K644,K645:K647),2))</f>
        <v>-</v>
      </c>
    </row>
    <row r="649" spans="1:11" ht="6.75" customHeight="1" x14ac:dyDescent="0.25"/>
    <row r="650" spans="1:11" ht="18.75" customHeight="1" x14ac:dyDescent="0.25">
      <c r="A650" s="212" t="s">
        <v>503</v>
      </c>
      <c r="B650" s="212"/>
      <c r="C650" s="212"/>
      <c r="D650" s="212"/>
      <c r="E650" s="212"/>
      <c r="F650" s="212"/>
      <c r="G650" s="6"/>
      <c r="H650" s="7" t="s">
        <v>12</v>
      </c>
      <c r="I650" s="8" t="s">
        <v>13</v>
      </c>
      <c r="J650" s="8" t="s">
        <v>14</v>
      </c>
      <c r="K650" s="9" t="s">
        <v>15</v>
      </c>
    </row>
    <row r="651" spans="1:11" ht="18.75" customHeight="1" x14ac:dyDescent="0.25">
      <c r="A651" s="212"/>
      <c r="B651" s="212"/>
      <c r="C651" s="212"/>
      <c r="D651" s="212"/>
      <c r="E651" s="212"/>
      <c r="F651" s="212"/>
      <c r="G651" s="10"/>
      <c r="H651" s="11"/>
      <c r="I651" s="12"/>
      <c r="J651" s="12"/>
      <c r="K651" s="13"/>
    </row>
    <row r="652" spans="1:11" ht="36" customHeight="1" x14ac:dyDescent="0.25">
      <c r="A652" s="31" t="s">
        <v>340</v>
      </c>
      <c r="B652" s="32" t="s">
        <v>504</v>
      </c>
      <c r="C652" s="33">
        <v>1</v>
      </c>
      <c r="D652" s="34" t="s">
        <v>19</v>
      </c>
      <c r="E652" s="35">
        <v>8500</v>
      </c>
      <c r="F652" s="36">
        <f>IF(AND(ISNUMBER($C652),ISNUMBER($E652)),$C652*$E652,"")</f>
        <v>8500</v>
      </c>
      <c r="G652" s="20"/>
      <c r="H652" s="199"/>
      <c r="I652" s="37"/>
      <c r="J652" s="37"/>
      <c r="K652" s="38"/>
    </row>
    <row r="653" spans="1:11" ht="36" customHeight="1" thickBot="1" x14ac:dyDescent="0.3">
      <c r="A653" s="31" t="s">
        <v>340</v>
      </c>
      <c r="B653" s="196" t="s">
        <v>1655</v>
      </c>
      <c r="C653" s="33">
        <v>1</v>
      </c>
      <c r="D653" s="206" t="s">
        <v>1656</v>
      </c>
      <c r="E653" s="35">
        <v>1500</v>
      </c>
      <c r="F653" s="36">
        <f>IF(AND(ISNUMBER($C653),ISNUMBER($E653)),$C653*$E653,"")</f>
        <v>1500</v>
      </c>
      <c r="G653" s="20"/>
      <c r="H653" s="199"/>
      <c r="I653" s="37"/>
      <c r="J653" s="37"/>
      <c r="K653" s="38"/>
    </row>
    <row r="654" spans="1:11" ht="18.75" customHeight="1" thickBot="1" x14ac:dyDescent="0.3">
      <c r="A654" s="234" t="s">
        <v>463</v>
      </c>
      <c r="B654" s="232"/>
      <c r="C654" s="232"/>
      <c r="D654" s="232"/>
      <c r="E654" s="39"/>
      <c r="F654" s="40">
        <f>IF(SUM(F652:F653)=0,"-",SUM(F652:F653))</f>
        <v>10000</v>
      </c>
      <c r="G654" s="41"/>
      <c r="H654" s="204" t="str">
        <f>IF(SUM(H651:H653)=0,"-",SUM(H651:H653))</f>
        <v>-</v>
      </c>
      <c r="I654" s="40" t="str">
        <f>IF(SUM(I651:I653)=0,"-",SUM(I651:I653))</f>
        <v>-</v>
      </c>
      <c r="J654" s="40" t="str">
        <f>IF(SUM(J651:J653)=0,"-",SUM(J651:J653))</f>
        <v>-</v>
      </c>
      <c r="K654" s="42" t="str">
        <f>IF(SUM(K651:K653)=0,"-",SUM(K651:K653))</f>
        <v>-</v>
      </c>
    </row>
    <row r="655" spans="1:11" ht="18" customHeight="1" x14ac:dyDescent="0.25">
      <c r="A655" s="233" t="s">
        <v>464</v>
      </c>
      <c r="B655" s="233"/>
      <c r="C655" s="233"/>
      <c r="D655" s="233"/>
      <c r="E655" s="73">
        <f>$E$516</f>
        <v>7.4999999999999997E-2</v>
      </c>
      <c r="F655" s="74">
        <f>IF(OR($E655="",SUM(F654)=0),"",ROUND((SUM(F654))*$E655,2))</f>
        <v>750</v>
      </c>
      <c r="G655" s="6"/>
      <c r="H655" s="251" t="str">
        <f>IF(OR($E655="",SUM(H654)=0),"",ROUND((SUM(H654))*$E655,2))</f>
        <v/>
      </c>
      <c r="I655" s="74" t="str">
        <f>IF(OR($E655="",SUM(I654)=0),"",ROUND((SUM(I654))*$E655,2))</f>
        <v/>
      </c>
      <c r="J655" s="74" t="str">
        <f>IF(OR($E655="",SUM(J654)=0),"",ROUND((SUM(J654))*$E655,2))</f>
        <v/>
      </c>
      <c r="K655" s="75" t="str">
        <f>IF(OR($E655="",SUM(K654)=0),"",ROUND((SUM(K654))*$E655,2))</f>
        <v/>
      </c>
    </row>
    <row r="656" spans="1:11" ht="18" customHeight="1" x14ac:dyDescent="0.25">
      <c r="A656" s="234" t="s">
        <v>465</v>
      </c>
      <c r="B656" s="234"/>
      <c r="C656" s="234"/>
      <c r="D656" s="234"/>
      <c r="E656" s="71">
        <f>$E$517</f>
        <v>0.06</v>
      </c>
      <c r="F656" s="29">
        <f>IF(OR($E656="",SUM(F654)=0),"",ROUND((SUM(F654)+SUM(F655:F655))*$E656,2))</f>
        <v>645</v>
      </c>
      <c r="G656" s="20"/>
      <c r="H656" s="200" t="str">
        <f>IF(OR($E656="",SUM(H654)=0),"",ROUND((SUM(H654)+SUM(H655:H655))*$E656,2))</f>
        <v/>
      </c>
      <c r="I656" s="29" t="str">
        <f>IF(OR($E656="",SUM(I654)=0),"",ROUND((SUM(I654)+SUM(I655:I655))*$E656,2))</f>
        <v/>
      </c>
      <c r="J656" s="29" t="str">
        <f>IF(OR($E656="",SUM(J654)=0),"",ROUND((SUM(J654)+SUM(J655:J655))*$E656,2))</f>
        <v/>
      </c>
      <c r="K656" s="30" t="str">
        <f>IF(OR($E656="",SUM(K654)=0),"",ROUND((SUM(K654)+SUM(K655:K655))*$E656,2))</f>
        <v/>
      </c>
    </row>
    <row r="657" spans="1:11" ht="18" customHeight="1" x14ac:dyDescent="0.25">
      <c r="A657" s="234" t="s">
        <v>466</v>
      </c>
      <c r="B657" s="234"/>
      <c r="C657" s="234"/>
      <c r="D657" s="234"/>
      <c r="E657" s="71">
        <f>$E$518</f>
        <v>2.75E-2</v>
      </c>
      <c r="F657" s="29">
        <f>IF(OR($E657="",SUM(F654)=0),"",ROUND((SUM(F654)+SUM(F655:F656))*$E657,2))</f>
        <v>313.36</v>
      </c>
      <c r="G657" s="20"/>
      <c r="H657" s="200" t="str">
        <f>IF(OR($E657="",SUM(H654)=0),"",ROUND((SUM(H654)+SUM(H655:H656))*$E657,2))</f>
        <v/>
      </c>
      <c r="I657" s="29" t="str">
        <f>IF(OR($E657="",SUM(I654)=0),"",ROUND((SUM(I654)+SUM(I655:I656))*$E657,2))</f>
        <v/>
      </c>
      <c r="J657" s="29" t="str">
        <f>IF(OR($E657="",SUM(J654)=0),"",ROUND((SUM(J654)+SUM(J655:J656))*$E657,2))</f>
        <v/>
      </c>
      <c r="K657" s="30" t="str">
        <f>IF(OR($E657="",SUM(K654)=0),"",ROUND((SUM(K654)+SUM(K655:K656))*$E657,2))</f>
        <v/>
      </c>
    </row>
    <row r="658" spans="1:11" ht="19.5" customHeight="1" thickBot="1" x14ac:dyDescent="0.3">
      <c r="A658" s="232" t="s">
        <v>475</v>
      </c>
      <c r="B658" s="232"/>
      <c r="C658" s="232"/>
      <c r="D658" s="232"/>
      <c r="E658" s="39"/>
      <c r="F658" s="69">
        <f>IF(SUM(F654,F655:F657)=0,"-",ROUND(SUM(F654,F655:F657),2))</f>
        <v>11708.36</v>
      </c>
      <c r="G658" s="41"/>
      <c r="H658" s="250" t="str">
        <f>IF(SUM(H654,H655:H657)=0,"-",ROUND(SUM(H654,H655:H657),2))</f>
        <v>-</v>
      </c>
      <c r="I658" s="69" t="str">
        <f>IF(SUM(I654,I655:I657)=0,"-",ROUND(SUM(I654,I655:I657),2))</f>
        <v>-</v>
      </c>
      <c r="J658" s="69" t="str">
        <f>IF(SUM(J654,J655:J657)=0,"-",ROUND(SUM(J654,J655:J657),2))</f>
        <v>-</v>
      </c>
      <c r="K658" s="70" t="str">
        <f>IF(SUM(K654,K655:K657)=0,"-",ROUND(SUM(K654,K655:K657),2))</f>
        <v>-</v>
      </c>
    </row>
    <row r="659" spans="1:11" ht="6.75" customHeight="1" thickBot="1" x14ac:dyDescent="0.3"/>
    <row r="660" spans="1:11" ht="18.75" customHeight="1" thickBot="1" x14ac:dyDescent="0.3">
      <c r="A660" s="212" t="s">
        <v>505</v>
      </c>
      <c r="B660" s="212"/>
      <c r="C660" s="212"/>
      <c r="D660" s="212"/>
      <c r="E660" s="212"/>
      <c r="F660" s="212"/>
      <c r="G660" s="6"/>
      <c r="H660" s="7" t="s">
        <v>12</v>
      </c>
      <c r="I660" s="8" t="s">
        <v>13</v>
      </c>
      <c r="J660" s="8" t="s">
        <v>14</v>
      </c>
      <c r="K660" s="9" t="s">
        <v>15</v>
      </c>
    </row>
    <row r="661" spans="1:11" ht="18.75" customHeight="1" x14ac:dyDescent="0.25">
      <c r="A661" s="212"/>
      <c r="B661" s="212"/>
      <c r="C661" s="212"/>
      <c r="D661" s="212"/>
      <c r="E661" s="212"/>
      <c r="F661" s="212"/>
      <c r="G661" s="10"/>
      <c r="H661" s="11"/>
      <c r="I661" s="12"/>
      <c r="J661" s="12"/>
      <c r="K661" s="13"/>
    </row>
    <row r="662" spans="1:11" ht="49.5" customHeight="1" x14ac:dyDescent="0.25">
      <c r="A662" s="31" t="s">
        <v>348</v>
      </c>
      <c r="B662" s="32" t="s">
        <v>1606</v>
      </c>
      <c r="C662" s="33">
        <v>1</v>
      </c>
      <c r="D662" s="34" t="s">
        <v>19</v>
      </c>
      <c r="E662" s="35">
        <v>12000</v>
      </c>
      <c r="F662" s="36">
        <f>IF(AND(ISNUMBER($C662),ISNUMBER($E662)),$C662*$E662,"")</f>
        <v>12000</v>
      </c>
      <c r="G662" s="20"/>
      <c r="H662" s="199"/>
      <c r="I662" s="37"/>
      <c r="J662" s="37"/>
      <c r="K662" s="38"/>
    </row>
    <row r="663" spans="1:11" ht="18.75" customHeight="1" x14ac:dyDescent="0.25">
      <c r="A663" s="232" t="s">
        <v>463</v>
      </c>
      <c r="B663" s="232"/>
      <c r="C663" s="232"/>
      <c r="D663" s="232"/>
      <c r="E663" s="39"/>
      <c r="F663" s="40">
        <f>IF(SUM(F662:F662)=0,"-",SUM(F662:F662))</f>
        <v>12000</v>
      </c>
      <c r="G663" s="41"/>
      <c r="H663" s="204" t="str">
        <f>IF(SUM(H661:H662)=0,"-",SUM(H661:H662))</f>
        <v>-</v>
      </c>
      <c r="I663" s="40" t="str">
        <f>IF(SUM(I661:I662)=0,"-",SUM(I661:I662))</f>
        <v>-</v>
      </c>
      <c r="J663" s="40" t="str">
        <f>IF(SUM(J661:J662)=0,"-",SUM(J661:J662))</f>
        <v>-</v>
      </c>
      <c r="K663" s="42" t="str">
        <f>IF(SUM(K661:K662)=0,"-",SUM(K661:K662))</f>
        <v>-</v>
      </c>
    </row>
    <row r="664" spans="1:11" ht="18" customHeight="1" x14ac:dyDescent="0.25">
      <c r="A664" s="234" t="s">
        <v>464</v>
      </c>
      <c r="B664" s="233"/>
      <c r="C664" s="233"/>
      <c r="D664" s="233"/>
      <c r="E664" s="73">
        <f>$E$516</f>
        <v>7.4999999999999997E-2</v>
      </c>
      <c r="F664" s="74">
        <f>IF(OR($E664="",SUM(F663)=0),"",ROUND((SUM(F663))*$E664,2))</f>
        <v>900</v>
      </c>
      <c r="G664" s="6"/>
      <c r="H664" s="251" t="str">
        <f>IF(OR($E664="",SUM(H663)=0),"",ROUND((SUM(H663))*$E664,2))</f>
        <v/>
      </c>
      <c r="I664" s="74" t="str">
        <f>IF(OR($E664="",SUM(I663)=0),"",ROUND((SUM(I663))*$E664,2))</f>
        <v/>
      </c>
      <c r="J664" s="74" t="str">
        <f>IF(OR($E664="",SUM(J663)=0),"",ROUND((SUM(J663))*$E664,2))</f>
        <v/>
      </c>
      <c r="K664" s="75" t="str">
        <f>IF(OR($E664="",SUM(K663)=0),"",ROUND((SUM(K663))*$E664,2))</f>
        <v/>
      </c>
    </row>
    <row r="665" spans="1:11" ht="18" customHeight="1" x14ac:dyDescent="0.25">
      <c r="A665" s="234" t="s">
        <v>465</v>
      </c>
      <c r="B665" s="234"/>
      <c r="C665" s="234"/>
      <c r="D665" s="234"/>
      <c r="E665" s="71">
        <f>$E$517</f>
        <v>0.06</v>
      </c>
      <c r="F665" s="29">
        <f>IF(OR($E665="",SUM(F663)=0),"",ROUND((SUM(F663)+SUM(F664:F664))*$E665,2))</f>
        <v>774</v>
      </c>
      <c r="G665" s="20"/>
      <c r="H665" s="200" t="str">
        <f>IF(OR($E665="",SUM(H663)=0),"",ROUND((SUM(H663)+SUM(H664:H664))*$E665,2))</f>
        <v/>
      </c>
      <c r="I665" s="29" t="str">
        <f>IF(OR($E665="",SUM(I663)=0),"",ROUND((SUM(I663)+SUM(I664:I664))*$E665,2))</f>
        <v/>
      </c>
      <c r="J665" s="29" t="str">
        <f>IF(OR($E665="",SUM(J663)=0),"",ROUND((SUM(J663)+SUM(J664:J664))*$E665,2))</f>
        <v/>
      </c>
      <c r="K665" s="30" t="str">
        <f>IF(OR($E665="",SUM(K663)=0),"",ROUND((SUM(K663)+SUM(K664:K664))*$E665,2))</f>
        <v/>
      </c>
    </row>
    <row r="666" spans="1:11" ht="18" customHeight="1" x14ac:dyDescent="0.25">
      <c r="A666" s="234" t="s">
        <v>466</v>
      </c>
      <c r="B666" s="234"/>
      <c r="C666" s="234"/>
      <c r="D666" s="234"/>
      <c r="E666" s="71">
        <f>$E$518</f>
        <v>2.75E-2</v>
      </c>
      <c r="F666" s="29">
        <f>IF(OR($E666="",SUM(F663)=0),"",ROUND((SUM(F663)+SUM(F664:F665))*$E666,2))</f>
        <v>376.04</v>
      </c>
      <c r="G666" s="20"/>
      <c r="H666" s="200" t="str">
        <f>IF(OR($E666="",SUM(H663)=0),"",ROUND((SUM(H663)+SUM(H664:H665))*$E666,2))</f>
        <v/>
      </c>
      <c r="I666" s="29" t="str">
        <f>IF(OR($E666="",SUM(I663)=0),"",ROUND((SUM(I663)+SUM(I664:I665))*$E666,2))</f>
        <v/>
      </c>
      <c r="J666" s="29" t="str">
        <f>IF(OR($E666="",SUM(J663)=0),"",ROUND((SUM(J663)+SUM(J664:J665))*$E666,2))</f>
        <v/>
      </c>
      <c r="K666" s="30" t="str">
        <f>IF(OR($E666="",SUM(K663)=0),"",ROUND((SUM(K663)+SUM(K664:K665))*$E666,2))</f>
        <v/>
      </c>
    </row>
    <row r="667" spans="1:11" ht="19.5" customHeight="1" x14ac:dyDescent="0.25">
      <c r="A667" s="232" t="s">
        <v>475</v>
      </c>
      <c r="B667" s="232"/>
      <c r="C667" s="232"/>
      <c r="D667" s="232"/>
      <c r="E667" s="39"/>
      <c r="F667" s="69">
        <f>IF(SUM(F663,F664:F666)=0,"-",ROUND(SUM(F663,F664:F666),2))</f>
        <v>14050.04</v>
      </c>
      <c r="G667" s="41"/>
      <c r="H667" s="250" t="str">
        <f>IF(SUM(H663,H664:H666)=0,"-",ROUND(SUM(H663,H664:H666),2))</f>
        <v>-</v>
      </c>
      <c r="I667" s="69" t="str">
        <f>IF(SUM(I663,I664:I666)=0,"-",ROUND(SUM(I663,I664:I666),2))</f>
        <v>-</v>
      </c>
      <c r="J667" s="69" t="str">
        <f>IF(SUM(J663,J664:J666)=0,"-",ROUND(SUM(J663,J664:J666),2))</f>
        <v>-</v>
      </c>
      <c r="K667" s="70" t="str">
        <f>IF(SUM(K663,K664:K666)=0,"-",ROUND(SUM(K663,K664:K666),2))</f>
        <v>-</v>
      </c>
    </row>
    <row r="668" spans="1:11" ht="6.75" customHeight="1" x14ac:dyDescent="0.25"/>
    <row r="669" spans="1:11" ht="18.75" customHeight="1" x14ac:dyDescent="0.25">
      <c r="A669" s="212" t="s">
        <v>506</v>
      </c>
      <c r="B669" s="212"/>
      <c r="C669" s="212"/>
      <c r="D669" s="212"/>
      <c r="E669" s="212"/>
      <c r="F669" s="212"/>
      <c r="G669" s="6"/>
      <c r="H669" s="7" t="s">
        <v>12</v>
      </c>
      <c r="I669" s="8" t="s">
        <v>13</v>
      </c>
      <c r="J669" s="8" t="s">
        <v>14</v>
      </c>
      <c r="K669" s="9" t="s">
        <v>15</v>
      </c>
    </row>
    <row r="670" spans="1:11" ht="18.75" customHeight="1" x14ac:dyDescent="0.25">
      <c r="A670" s="232" t="s">
        <v>463</v>
      </c>
      <c r="B670" s="212"/>
      <c r="C670" s="212"/>
      <c r="D670" s="212"/>
      <c r="E670" s="212"/>
      <c r="F670" s="212"/>
      <c r="G670" s="10"/>
      <c r="H670" s="11"/>
      <c r="I670" s="12"/>
      <c r="J670" s="12"/>
      <c r="K670" s="13"/>
    </row>
    <row r="671" spans="1:11" ht="38.25" x14ac:dyDescent="0.25">
      <c r="A671" s="31" t="s">
        <v>348</v>
      </c>
      <c r="B671" s="32" t="s">
        <v>507</v>
      </c>
      <c r="C671" s="33">
        <v>1</v>
      </c>
      <c r="D671" s="206" t="s">
        <v>19</v>
      </c>
      <c r="E671" s="35">
        <v>55000</v>
      </c>
      <c r="F671" s="36">
        <f>IF(AND(ISNUMBER($C671),ISNUMBER($E671)),$C671*$E671,"")</f>
        <v>55000</v>
      </c>
      <c r="G671" s="20"/>
      <c r="H671" s="199"/>
      <c r="I671" s="37"/>
      <c r="J671" s="37"/>
      <c r="K671" s="38"/>
    </row>
    <row r="672" spans="1:11" ht="51" x14ac:dyDescent="0.25">
      <c r="A672" s="23" t="s">
        <v>348</v>
      </c>
      <c r="B672" s="24" t="s">
        <v>508</v>
      </c>
      <c r="C672" s="25">
        <v>1</v>
      </c>
      <c r="D672" s="26" t="s">
        <v>19</v>
      </c>
      <c r="E672" s="27">
        <v>16000</v>
      </c>
      <c r="F672" s="28">
        <f>IF(AND(ISNUMBER($C672),ISNUMBER($E672)),$C672*$E672,"")</f>
        <v>16000</v>
      </c>
      <c r="G672" s="20"/>
      <c r="H672" s="200"/>
      <c r="I672" s="29"/>
      <c r="J672" s="29"/>
      <c r="K672" s="30"/>
    </row>
    <row r="673" spans="1:11" ht="51" x14ac:dyDescent="0.25">
      <c r="A673" s="31" t="s">
        <v>348</v>
      </c>
      <c r="B673" s="32" t="s">
        <v>509</v>
      </c>
      <c r="C673" s="33">
        <v>1</v>
      </c>
      <c r="D673" s="34" t="s">
        <v>19</v>
      </c>
      <c r="E673" s="35">
        <v>5000</v>
      </c>
      <c r="F673" s="36">
        <f>IF(AND(ISNUMBER($C673),ISNUMBER($E673)),$C673*$E673,"")</f>
        <v>5000</v>
      </c>
      <c r="G673" s="20"/>
      <c r="H673" s="199"/>
      <c r="I673" s="37"/>
      <c r="J673" s="37"/>
      <c r="K673" s="38"/>
    </row>
    <row r="674" spans="1:11" ht="18.75" customHeight="1" x14ac:dyDescent="0.25">
      <c r="A674" s="232" t="s">
        <v>463</v>
      </c>
      <c r="B674" s="232"/>
      <c r="C674" s="232"/>
      <c r="D674" s="232"/>
      <c r="E674" s="39"/>
      <c r="F674" s="40">
        <f>IF(SUM(F671:F673)=0,"-",SUM(F671:F673))</f>
        <v>76000</v>
      </c>
      <c r="G674" s="41"/>
      <c r="H674" s="204" t="str">
        <f>IF(SUM(H670:H673)=0,"-",SUM(H670:H673))</f>
        <v>-</v>
      </c>
      <c r="I674" s="40" t="str">
        <f>IF(SUM(I670:I673)=0,"-",SUM(I670:I673))</f>
        <v>-</v>
      </c>
      <c r="J674" s="40" t="str">
        <f>IF(SUM(J670:J673)=0,"-",SUM(J670:J673))</f>
        <v>-</v>
      </c>
      <c r="K674" s="42" t="str">
        <f>IF(SUM(K670:K673)=0,"-",SUM(K670:K673))</f>
        <v>-</v>
      </c>
    </row>
    <row r="675" spans="1:11" ht="18" customHeight="1" x14ac:dyDescent="0.25">
      <c r="A675" s="225" t="s">
        <v>464</v>
      </c>
      <c r="B675" s="233"/>
      <c r="C675" s="233"/>
      <c r="D675" s="233"/>
      <c r="E675" s="73">
        <f>$E$516</f>
        <v>7.4999999999999997E-2</v>
      </c>
      <c r="F675" s="74">
        <f>IF(OR($E675="",SUM(F674)=0),"",ROUND((SUM(F674))*$E675,2))</f>
        <v>5700</v>
      </c>
      <c r="G675" s="6"/>
      <c r="H675" s="251" t="str">
        <f>IF(OR($E675="",SUM(H674)=0),"",ROUND((SUM(H674))*$E675,2))</f>
        <v/>
      </c>
      <c r="I675" s="74" t="str">
        <f>IF(OR($E675="",SUM(I674)=0),"",ROUND((SUM(I674))*$E675,2))</f>
        <v/>
      </c>
      <c r="J675" s="74" t="str">
        <f>IF(OR($E675="",SUM(J674)=0),"",ROUND((SUM(J674))*$E675,2))</f>
        <v/>
      </c>
      <c r="K675" s="75" t="str">
        <f>IF(OR($E675="",SUM(K674)=0),"",ROUND((SUM(K674))*$E675,2))</f>
        <v/>
      </c>
    </row>
    <row r="676" spans="1:11" ht="18" customHeight="1" x14ac:dyDescent="0.25">
      <c r="A676" s="234" t="s">
        <v>465</v>
      </c>
      <c r="B676" s="234"/>
      <c r="C676" s="234"/>
      <c r="D676" s="234"/>
      <c r="E676" s="71">
        <f>$E$517</f>
        <v>0.06</v>
      </c>
      <c r="F676" s="29">
        <f>IF(OR($E676="",SUM(F674)=0),"",ROUND((SUM(F674)+SUM(F675:F675))*$E676,2))</f>
        <v>4902</v>
      </c>
      <c r="G676" s="20"/>
      <c r="H676" s="200" t="str">
        <f>IF(OR($E676="",SUM(H674)=0),"",ROUND((SUM(H674)+SUM(H675:H675))*$E676,2))</f>
        <v/>
      </c>
      <c r="I676" s="29" t="str">
        <f>IF(OR($E676="",SUM(I674)=0),"",ROUND((SUM(I674)+SUM(I675:I675))*$E676,2))</f>
        <v/>
      </c>
      <c r="J676" s="29" t="str">
        <f>IF(OR($E676="",SUM(J674)=0),"",ROUND((SUM(J674)+SUM(J675:J675))*$E676,2))</f>
        <v/>
      </c>
      <c r="K676" s="30" t="str">
        <f>IF(OR($E676="",SUM(K674)=0),"",ROUND((SUM(K674)+SUM(K675:K675))*$E676,2))</f>
        <v/>
      </c>
    </row>
    <row r="677" spans="1:11" ht="18" customHeight="1" x14ac:dyDescent="0.25">
      <c r="A677" s="234" t="s">
        <v>466</v>
      </c>
      <c r="B677" s="234"/>
      <c r="C677" s="234"/>
      <c r="D677" s="234"/>
      <c r="E677" s="71">
        <f>$E$518</f>
        <v>2.75E-2</v>
      </c>
      <c r="F677" s="29">
        <f>IF(OR($E677="",SUM(F674)=0),"",ROUND((SUM(F674)+SUM(F675:F676))*$E677,2))</f>
        <v>2381.56</v>
      </c>
      <c r="G677" s="20"/>
      <c r="H677" s="200" t="str">
        <f>IF(OR($E677="",SUM(H674)=0),"",ROUND((SUM(H674)+SUM(H675:H676))*$E677,2))</f>
        <v/>
      </c>
      <c r="I677" s="29" t="str">
        <f>IF(OR($E677="",SUM(I674)=0),"",ROUND((SUM(I674)+SUM(I675:I676))*$E677,2))</f>
        <v/>
      </c>
      <c r="J677" s="29" t="str">
        <f>IF(OR($E677="",SUM(J674)=0),"",ROUND((SUM(J674)+SUM(J675:J676))*$E677,2))</f>
        <v/>
      </c>
      <c r="K677" s="30" t="str">
        <f>IF(OR($E677="",SUM(K674)=0),"",ROUND((SUM(K674)+SUM(K675:K676))*$E677,2))</f>
        <v/>
      </c>
    </row>
    <row r="678" spans="1:11" ht="19.5" customHeight="1" x14ac:dyDescent="0.25">
      <c r="A678" s="232" t="s">
        <v>475</v>
      </c>
      <c r="B678" s="232"/>
      <c r="C678" s="232"/>
      <c r="D678" s="232"/>
      <c r="E678" s="39"/>
      <c r="F678" s="69">
        <f>IF(SUM(F674,F675:F677)=0,"-",ROUND(SUM(F674,F675:F677),2))</f>
        <v>88983.56</v>
      </c>
      <c r="G678" s="41"/>
      <c r="H678" s="250" t="str">
        <f>IF(SUM(H674,H675:H677)=0,"-",ROUND(SUM(H674,H675:H677),2))</f>
        <v>-</v>
      </c>
      <c r="I678" s="69" t="str">
        <f>IF(SUM(I674,I675:I677)=0,"-",ROUND(SUM(I674,I675:I677),2))</f>
        <v>-</v>
      </c>
      <c r="J678" s="69" t="str">
        <f>IF(SUM(J674,J675:J677)=0,"-",ROUND(SUM(J674,J675:J677),2))</f>
        <v>-</v>
      </c>
      <c r="K678" s="70" t="str">
        <f>IF(SUM(K674,K675:K677)=0,"-",ROUND(SUM(K674,K675:K677),2))</f>
        <v>-</v>
      </c>
    </row>
    <row r="679" spans="1:11" ht="6.75" customHeight="1" thickBot="1" x14ac:dyDescent="0.3"/>
    <row r="680" spans="1:11" ht="18.75" customHeight="1" thickBot="1" x14ac:dyDescent="0.3">
      <c r="A680" s="214" t="s">
        <v>1620</v>
      </c>
      <c r="B680" s="212"/>
      <c r="C680" s="212"/>
      <c r="D680" s="212"/>
      <c r="E680" s="212"/>
      <c r="F680" s="212"/>
      <c r="G680" s="6"/>
      <c r="H680" s="7" t="s">
        <v>12</v>
      </c>
      <c r="I680" s="8" t="s">
        <v>13</v>
      </c>
      <c r="J680" s="8" t="s">
        <v>14</v>
      </c>
      <c r="K680" s="9" t="s">
        <v>15</v>
      </c>
    </row>
    <row r="681" spans="1:11" ht="18.75" customHeight="1" thickBot="1" x14ac:dyDescent="0.3">
      <c r="A681" s="212"/>
      <c r="B681" s="212"/>
      <c r="C681" s="212"/>
      <c r="D681" s="212"/>
      <c r="E681" s="212"/>
      <c r="F681" s="212"/>
      <c r="G681" s="10"/>
      <c r="H681" s="11"/>
      <c r="I681" s="12"/>
      <c r="J681" s="12"/>
      <c r="K681" s="13"/>
    </row>
    <row r="682" spans="1:11" ht="105.75" customHeight="1" x14ac:dyDescent="0.25">
      <c r="A682" s="59" t="s">
        <v>65</v>
      </c>
      <c r="B682" s="197" t="s">
        <v>1621</v>
      </c>
      <c r="C682" s="61">
        <v>150</v>
      </c>
      <c r="D682" s="62" t="s">
        <v>21</v>
      </c>
      <c r="E682" s="63">
        <v>130</v>
      </c>
      <c r="F682" s="64">
        <f>IF(AND(ISNUMBER($C682),ISNUMBER($E682)),$C682*$E682,"")</f>
        <v>19500</v>
      </c>
      <c r="G682" s="20"/>
      <c r="H682" s="199"/>
      <c r="I682" s="37"/>
      <c r="J682" s="37"/>
      <c r="K682" s="38"/>
    </row>
    <row r="683" spans="1:11" ht="91.5" customHeight="1" x14ac:dyDescent="0.25">
      <c r="A683" s="59" t="s">
        <v>510</v>
      </c>
      <c r="B683" s="60" t="s">
        <v>511</v>
      </c>
      <c r="C683" s="61">
        <v>24</v>
      </c>
      <c r="D683" s="62" t="s">
        <v>26</v>
      </c>
      <c r="E683" s="63">
        <v>1621</v>
      </c>
      <c r="F683" s="64">
        <f>IF(AND(ISNUMBER($C683),ISNUMBER($E683)),$C683*$E683,"")</f>
        <v>38904</v>
      </c>
      <c r="G683" s="20"/>
      <c r="H683" s="200"/>
      <c r="I683" s="29"/>
      <c r="J683" s="29"/>
      <c r="K683" s="30"/>
    </row>
    <row r="684" spans="1:11" ht="78" customHeight="1" x14ac:dyDescent="0.25">
      <c r="A684" s="59" t="s">
        <v>510</v>
      </c>
      <c r="B684" s="60" t="s">
        <v>512</v>
      </c>
      <c r="C684" s="61">
        <v>8</v>
      </c>
      <c r="D684" s="62" t="s">
        <v>26</v>
      </c>
      <c r="E684" s="63">
        <v>2600</v>
      </c>
      <c r="F684" s="64">
        <f>IF(AND(ISNUMBER($C684),ISNUMBER($E684)),$C684*$E684,"")</f>
        <v>20800</v>
      </c>
      <c r="G684" s="20"/>
      <c r="H684" s="199"/>
      <c r="I684" s="37"/>
      <c r="J684" s="37"/>
      <c r="K684" s="38"/>
    </row>
    <row r="685" spans="1:11" ht="63.75" customHeight="1" x14ac:dyDescent="0.25">
      <c r="A685" s="59" t="s">
        <v>510</v>
      </c>
      <c r="B685" s="60" t="s">
        <v>513</v>
      </c>
      <c r="C685" s="61">
        <v>1</v>
      </c>
      <c r="D685" s="62" t="s">
        <v>19</v>
      </c>
      <c r="E685" s="63">
        <v>2500</v>
      </c>
      <c r="F685" s="64">
        <f>IF(AND(ISNUMBER($C685),ISNUMBER($E685)),$C685*$E685,"")</f>
        <v>2500</v>
      </c>
      <c r="G685" s="20"/>
      <c r="H685" s="200"/>
      <c r="I685" s="29"/>
      <c r="J685" s="29"/>
      <c r="K685" s="30"/>
    </row>
    <row r="686" spans="1:11" ht="18.75" customHeight="1" x14ac:dyDescent="0.25">
      <c r="A686" s="212" t="s">
        <v>463</v>
      </c>
      <c r="B686" s="232"/>
      <c r="C686" s="232"/>
      <c r="D686" s="232"/>
      <c r="E686" s="39"/>
      <c r="F686" s="40">
        <f>IF(SUM(F682:F685)=0,"-",SUM(F682:F685))</f>
        <v>81704</v>
      </c>
      <c r="G686" s="41"/>
      <c r="H686" s="204" t="str">
        <f>IF(SUM(H681:H685)=0,"-",SUM(H681:H685))</f>
        <v>-</v>
      </c>
      <c r="I686" s="40" t="str">
        <f>IF(SUM(I681:I685)=0,"-",SUM(I681:I685))</f>
        <v>-</v>
      </c>
      <c r="J686" s="40" t="str">
        <f>IF(SUM(J681:J685)=0,"-",SUM(J681:J685))</f>
        <v>-</v>
      </c>
      <c r="K686" s="42" t="str">
        <f>IF(SUM(K681:K685)=0,"-",SUM(K681:K685))</f>
        <v>-</v>
      </c>
    </row>
    <row r="687" spans="1:11" ht="18" customHeight="1" x14ac:dyDescent="0.25">
      <c r="A687" s="233" t="s">
        <v>464</v>
      </c>
      <c r="B687" s="233"/>
      <c r="C687" s="233"/>
      <c r="D687" s="233"/>
      <c r="E687" s="73">
        <f>$E$516</f>
        <v>7.4999999999999997E-2</v>
      </c>
      <c r="F687" s="74">
        <f>IF(OR($E687="",SUM(F686)=0),"",ROUND((SUM(F686))*$E687,2))</f>
        <v>6127.8</v>
      </c>
      <c r="G687" s="6"/>
      <c r="H687" s="251" t="str">
        <f>IF(OR($E687="",SUM(H686)=0),"",ROUND((SUM(H686))*$E687,2))</f>
        <v/>
      </c>
      <c r="I687" s="74" t="str">
        <f>IF(OR($E687="",SUM(I686)=0),"",ROUND((SUM(I686))*$E687,2))</f>
        <v/>
      </c>
      <c r="J687" s="74" t="str">
        <f>IF(OR($E687="",SUM(J686)=0),"",ROUND((SUM(J686))*$E687,2))</f>
        <v/>
      </c>
      <c r="K687" s="75" t="str">
        <f>IF(OR($E687="",SUM(K686)=0),"",ROUND((SUM(K686))*$E687,2))</f>
        <v/>
      </c>
    </row>
    <row r="688" spans="1:11" ht="18" customHeight="1" x14ac:dyDescent="0.25">
      <c r="A688" s="234" t="s">
        <v>465</v>
      </c>
      <c r="B688" s="234"/>
      <c r="C688" s="234"/>
      <c r="D688" s="234"/>
      <c r="E688" s="71">
        <f>$E$517</f>
        <v>0.06</v>
      </c>
      <c r="F688" s="29">
        <f>IF(OR($E688="",SUM(F686)=0),"",ROUND((SUM(F686)+SUM(F687:F687))*$E688,2))</f>
        <v>5269.91</v>
      </c>
      <c r="G688" s="20"/>
      <c r="H688" s="200" t="str">
        <f>IF(OR($E688="",SUM(H686)=0),"",ROUND((SUM(H686)+SUM(H687:H687))*$E688,2))</f>
        <v/>
      </c>
      <c r="I688" s="29" t="str">
        <f>IF(OR($E688="",SUM(I686)=0),"",ROUND((SUM(I686)+SUM(I687:I687))*$E688,2))</f>
        <v/>
      </c>
      <c r="J688" s="29" t="str">
        <f>IF(OR($E688="",SUM(J686)=0),"",ROUND((SUM(J686)+SUM(J687:J687))*$E688,2))</f>
        <v/>
      </c>
      <c r="K688" s="30" t="str">
        <f>IF(OR($E688="",SUM(K686)=0),"",ROUND((SUM(K686)+SUM(K687:K687))*$E688,2))</f>
        <v/>
      </c>
    </row>
    <row r="689" spans="1:11" ht="18" customHeight="1" x14ac:dyDescent="0.25">
      <c r="A689" s="234" t="s">
        <v>466</v>
      </c>
      <c r="B689" s="234"/>
      <c r="C689" s="234"/>
      <c r="D689" s="234"/>
      <c r="E689" s="71">
        <f>$E$518</f>
        <v>2.75E-2</v>
      </c>
      <c r="F689" s="29">
        <f>IF(OR($E689="",SUM(F686)=0),"",ROUND((SUM(F686)+SUM(F687:F688))*$E689,2))</f>
        <v>2560.3000000000002</v>
      </c>
      <c r="G689" s="20"/>
      <c r="H689" s="200" t="str">
        <f>IF(OR($E689="",SUM(H686)=0),"",ROUND((SUM(H686)+SUM(H687:H688))*$E689,2))</f>
        <v/>
      </c>
      <c r="I689" s="29" t="str">
        <f>IF(OR($E689="",SUM(I686)=0),"",ROUND((SUM(I686)+SUM(I687:I688))*$E689,2))</f>
        <v/>
      </c>
      <c r="J689" s="29" t="str">
        <f>IF(OR($E689="",SUM(J686)=0),"",ROUND((SUM(J686)+SUM(J687:J688))*$E689,2))</f>
        <v/>
      </c>
      <c r="K689" s="30" t="str">
        <f>IF(OR($E689="",SUM(K686)=0),"",ROUND((SUM(K686)+SUM(K687:K688))*$E689,2))</f>
        <v/>
      </c>
    </row>
    <row r="690" spans="1:11" ht="19.5" customHeight="1" x14ac:dyDescent="0.25">
      <c r="A690" s="232" t="s">
        <v>475</v>
      </c>
      <c r="B690" s="232"/>
      <c r="C690" s="232"/>
      <c r="D690" s="232"/>
      <c r="E690" s="39"/>
      <c r="F690" s="69">
        <f>IF(SUM(F686,F687:F689)=0,"-",ROUND(SUM(F686,F687:F689),2))</f>
        <v>95662.01</v>
      </c>
      <c r="G690" s="41"/>
      <c r="H690" s="250" t="str">
        <f>IF(SUM(H686,H687:H689)=0,"-",ROUND(SUM(H686,H687:H689),2))</f>
        <v>-</v>
      </c>
      <c r="I690" s="69" t="str">
        <f>IF(SUM(I686,I687:I689)=0,"-",ROUND(SUM(I686,I687:I689),2))</f>
        <v>-</v>
      </c>
      <c r="J690" s="69" t="str">
        <f>IF(SUM(J686,J687:J689)=0,"-",ROUND(SUM(J686,J687:J689),2))</f>
        <v>-</v>
      </c>
      <c r="K690" s="70" t="str">
        <f>IF(SUM(K686,K687:K689)=0,"-",ROUND(SUM(K686,K687:K689),2))</f>
        <v>-</v>
      </c>
    </row>
    <row r="691" spans="1:11" ht="6.75" customHeight="1" x14ac:dyDescent="0.25">
      <c r="A691" s="163"/>
    </row>
    <row r="692" spans="1:11" ht="18.75" customHeight="1" x14ac:dyDescent="0.25">
      <c r="A692" s="212" t="s">
        <v>514</v>
      </c>
      <c r="B692" s="212"/>
      <c r="C692" s="212"/>
      <c r="D692" s="212"/>
      <c r="E692" s="212"/>
      <c r="F692" s="212"/>
      <c r="G692" s="6"/>
      <c r="H692" s="7" t="s">
        <v>12</v>
      </c>
      <c r="I692" s="8" t="s">
        <v>13</v>
      </c>
      <c r="J692" s="8" t="s">
        <v>14</v>
      </c>
      <c r="K692" s="9" t="s">
        <v>15</v>
      </c>
    </row>
    <row r="693" spans="1:11" ht="18.75" customHeight="1" x14ac:dyDescent="0.25">
      <c r="A693" s="212"/>
      <c r="B693" s="212"/>
      <c r="C693" s="212"/>
      <c r="D693" s="212"/>
      <c r="E693" s="212"/>
      <c r="F693" s="212"/>
      <c r="G693" s="10"/>
      <c r="H693" s="11"/>
      <c r="I693" s="12"/>
      <c r="J693" s="12"/>
      <c r="K693" s="13"/>
    </row>
    <row r="694" spans="1:11" ht="38.25" x14ac:dyDescent="0.25">
      <c r="A694" s="31" t="s">
        <v>229</v>
      </c>
      <c r="B694" s="32" t="s">
        <v>515</v>
      </c>
      <c r="C694" s="33">
        <v>1</v>
      </c>
      <c r="D694" s="34" t="s">
        <v>19</v>
      </c>
      <c r="E694" s="35">
        <v>8000</v>
      </c>
      <c r="F694" s="36">
        <f>IF(AND(ISNUMBER($C694),ISNUMBER($E694)),$C694*$E694,"")</f>
        <v>8000</v>
      </c>
      <c r="G694" s="20"/>
      <c r="H694" s="199"/>
      <c r="I694" s="37"/>
      <c r="J694" s="37"/>
      <c r="K694" s="38"/>
    </row>
    <row r="695" spans="1:11" ht="39" thickBot="1" x14ac:dyDescent="0.3">
      <c r="A695" s="31" t="s">
        <v>351</v>
      </c>
      <c r="B695" s="32" t="s">
        <v>1874</v>
      </c>
      <c r="C695" s="33">
        <v>1</v>
      </c>
      <c r="D695" s="34" t="s">
        <v>19</v>
      </c>
      <c r="E695" s="35">
        <v>2000</v>
      </c>
      <c r="F695" s="36">
        <f>IF(AND(ISNUMBER($C695),ISNUMBER($E695)),$C695*$E695,"")</f>
        <v>2000</v>
      </c>
      <c r="G695" s="20"/>
      <c r="H695" s="199"/>
      <c r="I695" s="37"/>
      <c r="J695" s="37"/>
      <c r="K695" s="38"/>
    </row>
    <row r="696" spans="1:11" ht="18.75" customHeight="1" thickBot="1" x14ac:dyDescent="0.3">
      <c r="A696" s="232" t="s">
        <v>463</v>
      </c>
      <c r="B696" s="232"/>
      <c r="C696" s="232"/>
      <c r="D696" s="232"/>
      <c r="E696" s="39"/>
      <c r="F696" s="40">
        <f>IF(SUM(F694:F695)=0,"-",SUM(F694:F695))</f>
        <v>10000</v>
      </c>
      <c r="G696" s="41"/>
      <c r="H696" s="204" t="str">
        <f>IF(SUM(H693:H695)=0,"-",SUM(H693:H695))</f>
        <v>-</v>
      </c>
      <c r="I696" s="40" t="str">
        <f>IF(SUM(I693:I695)=0,"-",SUM(I693:I695))</f>
        <v>-</v>
      </c>
      <c r="J696" s="40" t="str">
        <f>IF(SUM(J693:J695)=0,"-",SUM(J693:J695))</f>
        <v>-</v>
      </c>
      <c r="K696" s="42" t="str">
        <f>IF(SUM(K693:K695)=0,"-",SUM(K693:K695))</f>
        <v>-</v>
      </c>
    </row>
    <row r="697" spans="1:11" ht="18" customHeight="1" x14ac:dyDescent="0.25">
      <c r="A697" s="233" t="s">
        <v>464</v>
      </c>
      <c r="B697" s="233"/>
      <c r="C697" s="233"/>
      <c r="D697" s="233"/>
      <c r="E697" s="73">
        <f>$E$516</f>
        <v>7.4999999999999997E-2</v>
      </c>
      <c r="F697" s="74">
        <f>IF(OR($E697="",SUM(F696)=0),"",ROUND((SUM(F696))*$E697,2))</f>
        <v>750</v>
      </c>
      <c r="G697" s="6"/>
      <c r="H697" s="251" t="str">
        <f>IF(OR($E697="",SUM(H696)=0),"",ROUND((SUM(H696))*$E697,2))</f>
        <v/>
      </c>
      <c r="I697" s="74" t="str">
        <f>IF(OR($E697="",SUM(I696)=0),"",ROUND((SUM(I696))*$E697,2))</f>
        <v/>
      </c>
      <c r="J697" s="74" t="str">
        <f>IF(OR($E697="",SUM(J696)=0),"",ROUND((SUM(J696))*$E697,2))</f>
        <v/>
      </c>
      <c r="K697" s="75" t="str">
        <f>IF(OR($E697="",SUM(K696)=0),"",ROUND((SUM(K696))*$E697,2))</f>
        <v/>
      </c>
    </row>
    <row r="698" spans="1:11" ht="18" customHeight="1" x14ac:dyDescent="0.25">
      <c r="A698" s="234" t="s">
        <v>465</v>
      </c>
      <c r="B698" s="234"/>
      <c r="C698" s="234"/>
      <c r="D698" s="234"/>
      <c r="E698" s="71">
        <f>$E$517</f>
        <v>0.06</v>
      </c>
      <c r="F698" s="29">
        <f>IF(OR($E698="",SUM(F696)=0),"",ROUND((SUM(F696)+SUM(F697:F697))*$E698,2))</f>
        <v>645</v>
      </c>
      <c r="G698" s="20"/>
      <c r="H698" s="200" t="str">
        <f>IF(OR($E698="",SUM(H696)=0),"",ROUND((SUM(H696)+SUM(H697:H697))*$E698,2))</f>
        <v/>
      </c>
      <c r="I698" s="29" t="str">
        <f>IF(OR($E698="",SUM(I696)=0),"",ROUND((SUM(I696)+SUM(I697:I697))*$E698,2))</f>
        <v/>
      </c>
      <c r="J698" s="29" t="str">
        <f>IF(OR($E698="",SUM(J696)=0),"",ROUND((SUM(J696)+SUM(J697:J697))*$E698,2))</f>
        <v/>
      </c>
      <c r="K698" s="30" t="str">
        <f>IF(OR($E698="",SUM(K696)=0),"",ROUND((SUM(K696)+SUM(K697:K697))*$E698,2))</f>
        <v/>
      </c>
    </row>
    <row r="699" spans="1:11" ht="18" customHeight="1" x14ac:dyDescent="0.25">
      <c r="A699" s="234" t="s">
        <v>466</v>
      </c>
      <c r="B699" s="234"/>
      <c r="C699" s="234"/>
      <c r="D699" s="234"/>
      <c r="E699" s="71">
        <f>$E$518</f>
        <v>2.75E-2</v>
      </c>
      <c r="F699" s="29">
        <f>IF(OR($E699="",SUM(F696)=0),"",ROUND((SUM(F696)+SUM(F697:F698))*$E699,2))</f>
        <v>313.36</v>
      </c>
      <c r="G699" s="20"/>
      <c r="H699" s="200" t="str">
        <f>IF(OR($E699="",SUM(H696)=0),"",ROUND((SUM(H696)+SUM(H697:H698))*$E699,2))</f>
        <v/>
      </c>
      <c r="I699" s="29" t="str">
        <f>IF(OR($E699="",SUM(I696)=0),"",ROUND((SUM(I696)+SUM(I697:I698))*$E699,2))</f>
        <v/>
      </c>
      <c r="J699" s="29" t="str">
        <f>IF(OR($E699="",SUM(J696)=0),"",ROUND((SUM(J696)+SUM(J697:J698))*$E699,2))</f>
        <v/>
      </c>
      <c r="K699" s="30" t="str">
        <f>IF(OR($E699="",SUM(K696)=0),"",ROUND((SUM(K696)+SUM(K697:K698))*$E699,2))</f>
        <v/>
      </c>
    </row>
    <row r="700" spans="1:11" ht="19.5" customHeight="1" x14ac:dyDescent="0.25">
      <c r="A700" s="232" t="s">
        <v>475</v>
      </c>
      <c r="B700" s="232"/>
      <c r="C700" s="232"/>
      <c r="D700" s="232"/>
      <c r="E700" s="39"/>
      <c r="F700" s="69">
        <f>IF(SUM(F696,F697:F699)=0,"-",ROUND(SUM(F696,F697:F699),2))</f>
        <v>11708.36</v>
      </c>
      <c r="G700" s="41"/>
      <c r="H700" s="250" t="str">
        <f>IF(SUM(H696,H697:H699)=0,"-",ROUND(SUM(H696,H697:H699),2))</f>
        <v>-</v>
      </c>
      <c r="I700" s="69" t="str">
        <f>IF(SUM(I696,I697:I699)=0,"-",ROUND(SUM(I696,I697:I699),2))</f>
        <v>-</v>
      </c>
      <c r="J700" s="69" t="str">
        <f>IF(SUM(J696,J697:J699)=0,"-",ROUND(SUM(J696,J697:J699),2))</f>
        <v>-</v>
      </c>
      <c r="K700" s="70" t="str">
        <f>IF(SUM(K696,K697:K699)=0,"-",ROUND(SUM(K696,K697:K699),2))</f>
        <v>-</v>
      </c>
    </row>
    <row r="701" spans="1:11" ht="6.75" customHeight="1" x14ac:dyDescent="0.25"/>
    <row r="702" spans="1:11" ht="18.75" customHeight="1" x14ac:dyDescent="0.25">
      <c r="A702" s="212" t="s">
        <v>516</v>
      </c>
      <c r="B702" s="212"/>
      <c r="C702" s="212"/>
      <c r="D702" s="212"/>
      <c r="E702" s="212"/>
      <c r="F702" s="212"/>
      <c r="G702" s="6"/>
      <c r="H702" s="7" t="s">
        <v>12</v>
      </c>
      <c r="I702" s="8" t="s">
        <v>13</v>
      </c>
      <c r="J702" s="8" t="s">
        <v>14</v>
      </c>
      <c r="K702" s="9" t="s">
        <v>15</v>
      </c>
    </row>
    <row r="703" spans="1:11" ht="18.75" customHeight="1" x14ac:dyDescent="0.25">
      <c r="A703" s="232" t="s">
        <v>463</v>
      </c>
      <c r="B703" s="212"/>
      <c r="C703" s="212"/>
      <c r="D703" s="212"/>
      <c r="E703" s="212"/>
      <c r="F703" s="212"/>
      <c r="G703" s="10"/>
      <c r="H703" s="11"/>
      <c r="I703" s="12"/>
      <c r="J703" s="12"/>
      <c r="K703" s="13"/>
    </row>
    <row r="704" spans="1:11" ht="63.75" customHeight="1" x14ac:dyDescent="0.25">
      <c r="A704" s="31" t="s">
        <v>225</v>
      </c>
      <c r="B704" s="32" t="s">
        <v>1834</v>
      </c>
      <c r="C704" s="33">
        <v>480</v>
      </c>
      <c r="D704" s="34" t="s">
        <v>23</v>
      </c>
      <c r="E704" s="35">
        <v>18</v>
      </c>
      <c r="F704" s="36">
        <f>IF(AND(ISNUMBER($C704),ISNUMBER($E704)),$C704*$E704,"")</f>
        <v>8640</v>
      </c>
      <c r="G704" s="20"/>
      <c r="H704" s="199"/>
      <c r="I704" s="37"/>
      <c r="J704" s="37"/>
      <c r="K704" s="38"/>
    </row>
    <row r="705" spans="1:11" ht="63.75" customHeight="1" x14ac:dyDescent="0.25">
      <c r="A705" s="31" t="s">
        <v>225</v>
      </c>
      <c r="B705" s="32" t="s">
        <v>1835</v>
      </c>
      <c r="C705" s="33">
        <v>23</v>
      </c>
      <c r="D705" s="34" t="s">
        <v>26</v>
      </c>
      <c r="E705" s="35">
        <v>105</v>
      </c>
      <c r="F705" s="36">
        <f t="shared" ref="F705:F707" si="16">IF(AND(ISNUMBER($C705),ISNUMBER($E705)),$C705*$E705,"")</f>
        <v>2415</v>
      </c>
      <c r="G705" s="20"/>
      <c r="H705" s="199"/>
      <c r="I705" s="37"/>
      <c r="J705" s="37"/>
      <c r="K705" s="38"/>
    </row>
    <row r="706" spans="1:11" ht="63.75" customHeight="1" x14ac:dyDescent="0.25">
      <c r="A706" s="31" t="s">
        <v>225</v>
      </c>
      <c r="B706" s="32" t="s">
        <v>1836</v>
      </c>
      <c r="C706" s="33">
        <v>1</v>
      </c>
      <c r="D706" s="34" t="s">
        <v>19</v>
      </c>
      <c r="E706" s="35">
        <v>1350</v>
      </c>
      <c r="F706" s="36">
        <f t="shared" si="16"/>
        <v>1350</v>
      </c>
      <c r="G706" s="20"/>
      <c r="H706" s="199"/>
      <c r="I706" s="37"/>
      <c r="J706" s="37"/>
      <c r="K706" s="38"/>
    </row>
    <row r="707" spans="1:11" ht="63.75" customHeight="1" thickBot="1" x14ac:dyDescent="0.3">
      <c r="A707" s="31" t="s">
        <v>225</v>
      </c>
      <c r="B707" s="32" t="s">
        <v>1837</v>
      </c>
      <c r="C707" s="33">
        <v>1</v>
      </c>
      <c r="D707" s="34" t="s">
        <v>19</v>
      </c>
      <c r="E707" s="35">
        <v>12000</v>
      </c>
      <c r="F707" s="36">
        <f t="shared" si="16"/>
        <v>12000</v>
      </c>
      <c r="G707" s="20"/>
      <c r="H707" s="199"/>
      <c r="I707" s="37"/>
      <c r="J707" s="37"/>
      <c r="K707" s="38"/>
    </row>
    <row r="708" spans="1:11" ht="18.75" customHeight="1" thickBot="1" x14ac:dyDescent="0.3">
      <c r="A708" s="232" t="s">
        <v>463</v>
      </c>
      <c r="B708" s="232"/>
      <c r="C708" s="232"/>
      <c r="D708" s="232"/>
      <c r="E708" s="39"/>
      <c r="F708" s="40">
        <f>IF(SUM(F704:F707)=0,"-",SUM(F704:F707))</f>
        <v>24405</v>
      </c>
      <c r="G708" s="41"/>
      <c r="H708" s="204" t="str">
        <f>IF(SUM(H703:H707)=0,"-",SUM(H703:H707))</f>
        <v>-</v>
      </c>
      <c r="I708" s="40" t="str">
        <f>IF(SUM(I703:I707)=0,"-",SUM(I703:I707))</f>
        <v>-</v>
      </c>
      <c r="J708" s="40" t="str">
        <f>IF(SUM(J703:J707)=0,"-",SUM(J703:J707))</f>
        <v>-</v>
      </c>
      <c r="K708" s="42" t="str">
        <f>IF(SUM(K703:K707)=0,"-",SUM(K703:K707))</f>
        <v>-</v>
      </c>
    </row>
    <row r="709" spans="1:11" ht="18" customHeight="1" x14ac:dyDescent="0.25">
      <c r="A709" s="233" t="s">
        <v>464</v>
      </c>
      <c r="B709" s="233"/>
      <c r="C709" s="233"/>
      <c r="D709" s="233"/>
      <c r="E709" s="73">
        <f>$E$516</f>
        <v>7.4999999999999997E-2</v>
      </c>
      <c r="F709" s="74">
        <f>IF(OR($E709="",SUM(F708)=0),"",ROUND((SUM(F708))*$E709,2))</f>
        <v>1830.38</v>
      </c>
      <c r="G709" s="6"/>
      <c r="H709" s="251" t="str">
        <f>IF(OR($E709="",SUM(H708)=0),"",ROUND((SUM(H708))*$E709,2))</f>
        <v/>
      </c>
      <c r="I709" s="74" t="str">
        <f>IF(OR($E709="",SUM(I708)=0),"",ROUND((SUM(I708))*$E709,2))</f>
        <v/>
      </c>
      <c r="J709" s="74" t="str">
        <f>IF(OR($E709="",SUM(J708)=0),"",ROUND((SUM(J708))*$E709,2))</f>
        <v/>
      </c>
      <c r="K709" s="75" t="str">
        <f>IF(OR($E709="",SUM(K708)=0),"",ROUND((SUM(K708))*$E709,2))</f>
        <v/>
      </c>
    </row>
    <row r="710" spans="1:11" ht="18" customHeight="1" x14ac:dyDescent="0.25">
      <c r="A710" s="234" t="s">
        <v>465</v>
      </c>
      <c r="B710" s="234"/>
      <c r="C710" s="234"/>
      <c r="D710" s="234"/>
      <c r="E710" s="71">
        <f>$E$517</f>
        <v>0.06</v>
      </c>
      <c r="F710" s="29">
        <f>IF(OR($E710="",SUM(F708)=0),"",ROUND((SUM(F708)+SUM(F709:F709))*$E710,2))</f>
        <v>1574.12</v>
      </c>
      <c r="G710" s="20"/>
      <c r="H710" s="200" t="str">
        <f>IF(OR($E710="",SUM(H708)=0),"",ROUND((SUM(H708)+SUM(H709:H709))*$E710,2))</f>
        <v/>
      </c>
      <c r="I710" s="29" t="str">
        <f>IF(OR($E710="",SUM(I708)=0),"",ROUND((SUM(I708)+SUM(I709:I709))*$E710,2))</f>
        <v/>
      </c>
      <c r="J710" s="29" t="str">
        <f>IF(OR($E710="",SUM(J708)=0),"",ROUND((SUM(J708)+SUM(J709:J709))*$E710,2))</f>
        <v/>
      </c>
      <c r="K710" s="30" t="str">
        <f>IF(OR($E710="",SUM(K708)=0),"",ROUND((SUM(K708)+SUM(K709:K709))*$E710,2))</f>
        <v/>
      </c>
    </row>
    <row r="711" spans="1:11" ht="18" customHeight="1" x14ac:dyDescent="0.25">
      <c r="A711" s="225" t="s">
        <v>466</v>
      </c>
      <c r="B711" s="234"/>
      <c r="C711" s="234"/>
      <c r="D711" s="234"/>
      <c r="E711" s="71">
        <f>$E$518</f>
        <v>2.75E-2</v>
      </c>
      <c r="F711" s="29">
        <f>IF(OR($E711="",SUM(F708)=0),"",ROUND((SUM(F708)+SUM(F709:F710))*$E711,2))</f>
        <v>764.76</v>
      </c>
      <c r="G711" s="20"/>
      <c r="H711" s="200" t="str">
        <f>IF(OR($E711="",SUM(H708)=0),"",ROUND((SUM(H708)+SUM(H709:H710))*$E711,2))</f>
        <v/>
      </c>
      <c r="I711" s="29" t="str">
        <f>IF(OR($E711="",SUM(I708)=0),"",ROUND((SUM(I708)+SUM(I709:I710))*$E711,2))</f>
        <v/>
      </c>
      <c r="J711" s="29" t="str">
        <f>IF(OR($E711="",SUM(J708)=0),"",ROUND((SUM(J708)+SUM(J709:J710))*$E711,2))</f>
        <v/>
      </c>
      <c r="K711" s="30" t="str">
        <f>IF(OR($E711="",SUM(K708)=0),"",ROUND((SUM(K708)+SUM(K709:K710))*$E711,2))</f>
        <v/>
      </c>
    </row>
    <row r="712" spans="1:11" ht="19.5" customHeight="1" x14ac:dyDescent="0.25">
      <c r="A712" s="232" t="s">
        <v>475</v>
      </c>
      <c r="B712" s="232"/>
      <c r="C712" s="232"/>
      <c r="D712" s="232"/>
      <c r="E712" s="39"/>
      <c r="F712" s="69">
        <f>IF(SUM(F708,F709:F711)=0,"-",ROUND(SUM(F708,F709:F711),2))</f>
        <v>28574.26</v>
      </c>
      <c r="G712" s="41"/>
      <c r="H712" s="250" t="str">
        <f>IF(SUM(H708,H709:H711)=0,"-",ROUND(SUM(H708,H709:H711),2))</f>
        <v>-</v>
      </c>
      <c r="I712" s="69" t="str">
        <f>IF(SUM(I708,I709:I711)=0,"-",ROUND(SUM(I708,I709:I711),2))</f>
        <v>-</v>
      </c>
      <c r="J712" s="69" t="str">
        <f>IF(SUM(J708,J709:J711)=0,"-",ROUND(SUM(J708,J709:J711),2))</f>
        <v>-</v>
      </c>
      <c r="K712" s="70" t="str">
        <f>IF(SUM(K708,K709:K711)=0,"-",ROUND(SUM(K708,K709:K711),2))</f>
        <v>-</v>
      </c>
    </row>
    <row r="713" spans="1:11" ht="15.75" thickBot="1" x14ac:dyDescent="0.3"/>
    <row r="714" spans="1:11" ht="15.75" thickBot="1" x14ac:dyDescent="0.3">
      <c r="A714" s="212" t="s">
        <v>1649</v>
      </c>
      <c r="B714" s="212"/>
      <c r="C714" s="212"/>
      <c r="D714" s="212"/>
      <c r="E714" s="212"/>
      <c r="F714" s="212"/>
      <c r="G714" s="6"/>
      <c r="H714" s="7" t="s">
        <v>12</v>
      </c>
      <c r="I714" s="8" t="s">
        <v>13</v>
      </c>
      <c r="J714" s="8" t="s">
        <v>14</v>
      </c>
      <c r="K714" s="9" t="s">
        <v>15</v>
      </c>
    </row>
    <row r="715" spans="1:11" ht="15.75" thickBot="1" x14ac:dyDescent="0.3">
      <c r="A715" s="212"/>
      <c r="B715" s="212"/>
      <c r="C715" s="212"/>
      <c r="D715" s="212"/>
      <c r="E715" s="212"/>
      <c r="F715" s="212"/>
      <c r="G715" s="10"/>
      <c r="H715" s="11"/>
      <c r="I715" s="12"/>
      <c r="J715" s="12"/>
      <c r="K715" s="13"/>
    </row>
    <row r="716" spans="1:11" ht="15.75" thickBot="1" x14ac:dyDescent="0.3">
      <c r="A716" s="31" t="s">
        <v>1650</v>
      </c>
      <c r="B716" s="32" t="s">
        <v>1651</v>
      </c>
      <c r="C716" s="33">
        <v>1</v>
      </c>
      <c r="D716" s="34" t="s">
        <v>19</v>
      </c>
      <c r="E716" s="35">
        <v>9000</v>
      </c>
      <c r="F716" s="36">
        <f>IF(AND(ISNUMBER($C716),ISNUMBER($E716)),$C716*$E716,"")</f>
        <v>9000</v>
      </c>
      <c r="G716" s="20"/>
      <c r="H716" s="199"/>
      <c r="I716" s="37"/>
      <c r="J716" s="37"/>
      <c r="K716" s="38"/>
    </row>
    <row r="717" spans="1:11" ht="15.75" thickBot="1" x14ac:dyDescent="0.3">
      <c r="A717" s="232" t="s">
        <v>463</v>
      </c>
      <c r="B717" s="232"/>
      <c r="C717" s="232"/>
      <c r="D717" s="232"/>
      <c r="E717" s="39"/>
      <c r="F717" s="40">
        <f>IF(SUM(F716:F716)=0,"-",SUM(F716:F716))</f>
        <v>9000</v>
      </c>
      <c r="G717" s="41"/>
      <c r="H717" s="204" t="str">
        <f>IF(SUM(H715:H716)=0,"-",SUM(H715:H716))</f>
        <v>-</v>
      </c>
      <c r="I717" s="40" t="str">
        <f>IF(SUM(I715:I716)=0,"-",SUM(I715:I716))</f>
        <v>-</v>
      </c>
      <c r="J717" s="40" t="str">
        <f>IF(SUM(J715:J716)=0,"-",SUM(J715:J716))</f>
        <v>-</v>
      </c>
      <c r="K717" s="42" t="str">
        <f>IF(SUM(K715:K716)=0,"-",SUM(K715:K716))</f>
        <v>-</v>
      </c>
    </row>
    <row r="718" spans="1:11" x14ac:dyDescent="0.25">
      <c r="A718" s="233" t="s">
        <v>464</v>
      </c>
      <c r="B718" s="233"/>
      <c r="C718" s="233"/>
      <c r="D718" s="233"/>
      <c r="E718" s="310">
        <f>$E$516</f>
        <v>7.4999999999999997E-2</v>
      </c>
      <c r="F718" s="74">
        <f>IF(OR($E718="",SUM(F717)=0),"",ROUND((SUM(F717))*$E718,2))</f>
        <v>675</v>
      </c>
      <c r="G718" s="6"/>
      <c r="H718" s="251" t="str">
        <f>IF(OR($E718="",SUM(H717)=0),"",ROUND((SUM(H717))*$E718,2))</f>
        <v/>
      </c>
      <c r="I718" s="74" t="str">
        <f>IF(OR($E718="",SUM(I717)=0),"",ROUND((SUM(I717))*$E718,2))</f>
        <v/>
      </c>
      <c r="J718" s="74" t="str">
        <f>IF(OR($E718="",SUM(J717)=0),"",ROUND((SUM(J717))*$E718,2))</f>
        <v/>
      </c>
      <c r="K718" s="75" t="str">
        <f>IF(OR($E718="",SUM(K717)=0),"",ROUND((SUM(K717))*$E718,2))</f>
        <v/>
      </c>
    </row>
    <row r="719" spans="1:11" x14ac:dyDescent="0.25">
      <c r="A719" s="234" t="s">
        <v>465</v>
      </c>
      <c r="B719" s="234"/>
      <c r="C719" s="234"/>
      <c r="D719" s="234"/>
      <c r="E719" s="71">
        <f>$E$517</f>
        <v>0.06</v>
      </c>
      <c r="F719" s="29">
        <f>IF(OR($E719="",SUM(F717)=0),"",ROUND((SUM(F717)+SUM(F718:F718))*$E719,2))</f>
        <v>580.5</v>
      </c>
      <c r="G719" s="20"/>
      <c r="H719" s="200" t="str">
        <f>IF(OR($E719="",SUM(H717)=0),"",ROUND((SUM(H717)+SUM(H718:H718))*$E719,2))</f>
        <v/>
      </c>
      <c r="I719" s="29" t="str">
        <f>IF(OR($E719="",SUM(I717)=0),"",ROUND((SUM(I717)+SUM(I718:I718))*$E719,2))</f>
        <v/>
      </c>
      <c r="J719" s="29" t="str">
        <f>IF(OR($E719="",SUM(J717)=0),"",ROUND((SUM(J717)+SUM(J718:J718))*$E719,2))</f>
        <v/>
      </c>
      <c r="K719" s="30" t="str">
        <f>IF(OR($E719="",SUM(K717)=0),"",ROUND((SUM(K717)+SUM(K718:K718))*$E719,2))</f>
        <v/>
      </c>
    </row>
    <row r="720" spans="1:11" ht="15.75" thickBot="1" x14ac:dyDescent="0.3">
      <c r="A720" s="234" t="s">
        <v>466</v>
      </c>
      <c r="B720" s="234"/>
      <c r="C720" s="234"/>
      <c r="D720" s="234"/>
      <c r="E720" s="71">
        <f>$E$518</f>
        <v>2.75E-2</v>
      </c>
      <c r="F720" s="29">
        <f>IF(OR($E720="",SUM(F717)=0),"",ROUND((SUM(F717)+SUM(F718:F719))*$E720,2))</f>
        <v>282.02999999999997</v>
      </c>
      <c r="G720" s="20"/>
      <c r="H720" s="200" t="str">
        <f>IF(OR($E720="",SUM(H717)=0),"",ROUND((SUM(H717)+SUM(H718:H719))*$E720,2))</f>
        <v/>
      </c>
      <c r="I720" s="29" t="str">
        <f>IF(OR($E720="",SUM(I717)=0),"",ROUND((SUM(I717)+SUM(I718:I719))*$E720,2))</f>
        <v/>
      </c>
      <c r="J720" s="29" t="str">
        <f>IF(OR($E720="",SUM(J717)=0),"",ROUND((SUM(J717)+SUM(J718:J719))*$E720,2))</f>
        <v/>
      </c>
      <c r="K720" s="30" t="str">
        <f>IF(OR($E720="",SUM(K717)=0),"",ROUND((SUM(K717)+SUM(K718:K719))*$E720,2))</f>
        <v/>
      </c>
    </row>
    <row r="721" spans="1:11" ht="15.75" thickBot="1" x14ac:dyDescent="0.3">
      <c r="A721" s="232" t="s">
        <v>475</v>
      </c>
      <c r="B721" s="232"/>
      <c r="C721" s="232"/>
      <c r="D721" s="232"/>
      <c r="E721" s="39"/>
      <c r="F721" s="69">
        <f>IF(SUM(F717,F718:F720)=0,"-",ROUND(SUM(F717,F718:F720),2))</f>
        <v>10537.53</v>
      </c>
      <c r="G721" s="41"/>
      <c r="H721" s="250" t="str">
        <f>IF(SUM(H717,H718:H720)=0,"-",ROUND(SUM(H717,H718:H720),2))</f>
        <v>-</v>
      </c>
      <c r="I721" s="69" t="str">
        <f>IF(SUM(I717,I718:I720)=0,"-",ROUND(SUM(I717,I718:I720),2))</f>
        <v>-</v>
      </c>
      <c r="J721" s="69" t="str">
        <f>IF(SUM(J717,J718:J720)=0,"-",ROUND(SUM(J717,J718:J720),2))</f>
        <v>-</v>
      </c>
      <c r="K721" s="70" t="str">
        <f>IF(SUM(K717,K718:K720)=0,"-",ROUND(SUM(K717,K718:K720),2))</f>
        <v>-</v>
      </c>
    </row>
    <row r="722" spans="1:11" ht="15.75" thickBot="1" x14ac:dyDescent="0.3"/>
    <row r="723" spans="1:11" ht="15.75" thickBot="1" x14ac:dyDescent="0.3">
      <c r="A723" s="212" t="s">
        <v>1698</v>
      </c>
      <c r="B723" s="212"/>
      <c r="C723" s="212"/>
      <c r="D723" s="212"/>
      <c r="E723" s="212"/>
      <c r="F723" s="212"/>
      <c r="G723" s="6"/>
      <c r="H723" s="7" t="s">
        <v>12</v>
      </c>
      <c r="I723" s="8" t="s">
        <v>13</v>
      </c>
      <c r="J723" s="8" t="s">
        <v>14</v>
      </c>
      <c r="K723" s="9" t="s">
        <v>15</v>
      </c>
    </row>
    <row r="724" spans="1:11" ht="15.75" thickBot="1" x14ac:dyDescent="0.3">
      <c r="A724" s="212"/>
      <c r="B724" s="212"/>
      <c r="C724" s="212"/>
      <c r="D724" s="212"/>
      <c r="E724" s="212"/>
      <c r="F724" s="212"/>
      <c r="G724" s="10"/>
      <c r="H724" s="11"/>
      <c r="I724" s="12"/>
      <c r="J724" s="12"/>
      <c r="K724" s="13"/>
    </row>
    <row r="725" spans="1:11" ht="15.75" thickBot="1" x14ac:dyDescent="0.3">
      <c r="A725" s="31" t="s">
        <v>1699</v>
      </c>
      <c r="B725" s="32" t="s">
        <v>1700</v>
      </c>
      <c r="C725" s="33">
        <v>1</v>
      </c>
      <c r="D725" s="34" t="s">
        <v>19</v>
      </c>
      <c r="E725" s="35">
        <v>9500</v>
      </c>
      <c r="F725" s="36">
        <f>IF(AND(ISNUMBER($C725),ISNUMBER($E725)),$C725*$E725,"")</f>
        <v>9500</v>
      </c>
      <c r="G725" s="20"/>
      <c r="H725" s="199"/>
      <c r="I725" s="37"/>
      <c r="J725" s="37"/>
      <c r="K725" s="38"/>
    </row>
    <row r="726" spans="1:11" ht="15.75" thickBot="1" x14ac:dyDescent="0.3">
      <c r="A726" s="232" t="s">
        <v>463</v>
      </c>
      <c r="B726" s="232"/>
      <c r="C726" s="232"/>
      <c r="D726" s="232"/>
      <c r="E726" s="39"/>
      <c r="F726" s="40">
        <f>IF(SUM(F725:F725)=0,"-",SUM(F725:F725))</f>
        <v>9500</v>
      </c>
      <c r="G726" s="41"/>
      <c r="H726" s="204" t="str">
        <f>IF(SUM(H724:H725)=0,"-",SUM(H724:H725))</f>
        <v>-</v>
      </c>
      <c r="I726" s="40" t="str">
        <f>IF(SUM(I724:I725)=0,"-",SUM(I724:I725))</f>
        <v>-</v>
      </c>
      <c r="J726" s="40" t="str">
        <f>IF(SUM(J724:J725)=0,"-",SUM(J724:J725))</f>
        <v>-</v>
      </c>
      <c r="K726" s="42" t="str">
        <f>IF(SUM(K724:K725)=0,"-",SUM(K724:K725))</f>
        <v>-</v>
      </c>
    </row>
    <row r="727" spans="1:11" x14ac:dyDescent="0.25">
      <c r="A727" s="233" t="s">
        <v>464</v>
      </c>
      <c r="B727" s="233"/>
      <c r="C727" s="233"/>
      <c r="D727" s="233"/>
      <c r="E727" s="310">
        <f>$E$516</f>
        <v>7.4999999999999997E-2</v>
      </c>
      <c r="F727" s="74">
        <f>IF(OR($E727="",SUM(F726)=0),"",ROUND((SUM(F726))*$E727,2))</f>
        <v>712.5</v>
      </c>
      <c r="G727" s="6"/>
      <c r="H727" s="251" t="str">
        <f>IF(OR($E727="",SUM(H726)=0),"",ROUND((SUM(H726))*$E727,2))</f>
        <v/>
      </c>
      <c r="I727" s="74" t="str">
        <f>IF(OR($E727="",SUM(I726)=0),"",ROUND((SUM(I726))*$E727,2))</f>
        <v/>
      </c>
      <c r="J727" s="74" t="str">
        <f>IF(OR($E727="",SUM(J726)=0),"",ROUND((SUM(J726))*$E727,2))</f>
        <v/>
      </c>
      <c r="K727" s="75" t="str">
        <f>IF(OR($E727="",SUM(K726)=0),"",ROUND((SUM(K726))*$E727,2))</f>
        <v/>
      </c>
    </row>
    <row r="728" spans="1:11" x14ac:dyDescent="0.25">
      <c r="A728" s="234" t="s">
        <v>465</v>
      </c>
      <c r="B728" s="234"/>
      <c r="C728" s="234"/>
      <c r="D728" s="234"/>
      <c r="E728" s="71">
        <f>$E$517</f>
        <v>0.06</v>
      </c>
      <c r="F728" s="29">
        <f>IF(OR($E728="",SUM(F726)=0),"",ROUND((SUM(F726)+SUM(F727:F727))*$E728,2))</f>
        <v>612.75</v>
      </c>
      <c r="G728" s="20"/>
      <c r="H728" s="200" t="str">
        <f>IF(OR($E728="",SUM(H726)=0),"",ROUND((SUM(H726)+SUM(H727:H727))*$E728,2))</f>
        <v/>
      </c>
      <c r="I728" s="29" t="str">
        <f>IF(OR($E728="",SUM(I726)=0),"",ROUND((SUM(I726)+SUM(I727:I727))*$E728,2))</f>
        <v/>
      </c>
      <c r="J728" s="29" t="str">
        <f>IF(OR($E728="",SUM(J726)=0),"",ROUND((SUM(J726)+SUM(J727:J727))*$E728,2))</f>
        <v/>
      </c>
      <c r="K728" s="30" t="str">
        <f>IF(OR($E728="",SUM(K726)=0),"",ROUND((SUM(K726)+SUM(K727:K727))*$E728,2))</f>
        <v/>
      </c>
    </row>
    <row r="729" spans="1:11" ht="15.75" thickBot="1" x14ac:dyDescent="0.3">
      <c r="A729" s="234" t="s">
        <v>466</v>
      </c>
      <c r="B729" s="234"/>
      <c r="C729" s="234"/>
      <c r="D729" s="234"/>
      <c r="E729" s="71">
        <f>$E$518</f>
        <v>2.75E-2</v>
      </c>
      <c r="F729" s="29">
        <f>IF(OR($E729="",SUM(F726)=0),"",ROUND((SUM(F726)+SUM(F727:F728))*$E729,2))</f>
        <v>297.69</v>
      </c>
      <c r="G729" s="20"/>
      <c r="H729" s="200" t="str">
        <f>IF(OR($E729="",SUM(H726)=0),"",ROUND((SUM(H726)+SUM(H727:H728))*$E729,2))</f>
        <v/>
      </c>
      <c r="I729" s="29" t="str">
        <f>IF(OR($E729="",SUM(I726)=0),"",ROUND((SUM(I726)+SUM(I727:I728))*$E729,2))</f>
        <v/>
      </c>
      <c r="J729" s="29" t="str">
        <f>IF(OR($E729="",SUM(J726)=0),"",ROUND((SUM(J726)+SUM(J727:J728))*$E729,2))</f>
        <v/>
      </c>
      <c r="K729" s="30" t="str">
        <f>IF(OR($E729="",SUM(K726)=0),"",ROUND((SUM(K726)+SUM(K727:K728))*$E729,2))</f>
        <v/>
      </c>
    </row>
    <row r="730" spans="1:11" ht="15.75" thickBot="1" x14ac:dyDescent="0.3">
      <c r="A730" s="232" t="s">
        <v>475</v>
      </c>
      <c r="B730" s="232"/>
      <c r="C730" s="232"/>
      <c r="D730" s="232"/>
      <c r="E730" s="39"/>
      <c r="F730" s="69">
        <f>IF(SUM(F726,F727:F729)=0,"-",ROUND(SUM(F726,F727:F729),2))</f>
        <v>11122.94</v>
      </c>
      <c r="G730" s="41"/>
      <c r="H730" s="250" t="str">
        <f>IF(SUM(H726,H727:H729)=0,"-",ROUND(SUM(H726,H727:H729),2))</f>
        <v>-</v>
      </c>
      <c r="I730" s="69" t="str">
        <f>IF(SUM(I726,I727:I729)=0,"-",ROUND(SUM(I726,I727:I729),2))</f>
        <v>-</v>
      </c>
      <c r="J730" s="69" t="str">
        <f>IF(SUM(J726,J727:J729)=0,"-",ROUND(SUM(J726,J727:J729),2))</f>
        <v>-</v>
      </c>
      <c r="K730" s="70" t="str">
        <f>IF(SUM(K726,K727:K729)=0,"-",ROUND(SUM(K726,K727:K729),2))</f>
        <v>-</v>
      </c>
    </row>
    <row r="731" spans="1:11" ht="15.75" thickBot="1" x14ac:dyDescent="0.3"/>
    <row r="732" spans="1:11" ht="15.75" thickBot="1" x14ac:dyDescent="0.3">
      <c r="A732" s="212" t="s">
        <v>1838</v>
      </c>
      <c r="B732" s="212"/>
      <c r="C732" s="212"/>
      <c r="D732" s="212"/>
      <c r="E732" s="212"/>
      <c r="F732" s="212"/>
      <c r="G732" s="6"/>
      <c r="H732" s="7" t="s">
        <v>12</v>
      </c>
      <c r="I732" s="8" t="s">
        <v>13</v>
      </c>
      <c r="J732" s="8" t="s">
        <v>14</v>
      </c>
      <c r="K732" s="9" t="s">
        <v>15</v>
      </c>
    </row>
    <row r="733" spans="1:11" ht="15.75" thickBot="1" x14ac:dyDescent="0.3">
      <c r="A733" s="212"/>
      <c r="B733" s="212"/>
      <c r="C733" s="212"/>
      <c r="D733" s="212"/>
      <c r="E733" s="212"/>
      <c r="F733" s="212"/>
      <c r="G733" s="10"/>
      <c r="H733" s="11"/>
      <c r="I733" s="12"/>
      <c r="J733" s="12"/>
      <c r="K733" s="13"/>
    </row>
    <row r="734" spans="1:11" ht="25.5" x14ac:dyDescent="0.25">
      <c r="A734" s="31" t="s">
        <v>117</v>
      </c>
      <c r="B734" s="32" t="s">
        <v>1839</v>
      </c>
      <c r="C734" s="33">
        <f>-$C$111</f>
        <v>-2646.2260000000001</v>
      </c>
      <c r="D734" s="34" t="s">
        <v>23</v>
      </c>
      <c r="E734" s="35">
        <f>$E$111</f>
        <v>26</v>
      </c>
      <c r="F734" s="36">
        <f>IF(AND(ISNUMBER($C734),ISNUMBER($E734)),$C734*$E734,"")</f>
        <v>-68801.876000000004</v>
      </c>
      <c r="G734" s="20"/>
      <c r="H734" s="199"/>
      <c r="I734" s="37"/>
      <c r="J734" s="37"/>
      <c r="K734" s="38"/>
    </row>
    <row r="735" spans="1:11" ht="26.25" thickBot="1" x14ac:dyDescent="0.3">
      <c r="A735" s="31" t="s">
        <v>117</v>
      </c>
      <c r="B735" s="32" t="s">
        <v>1840</v>
      </c>
      <c r="C735" s="33">
        <f>$C$111</f>
        <v>2646.2260000000001</v>
      </c>
      <c r="D735" s="34" t="s">
        <v>23</v>
      </c>
      <c r="E735" s="35">
        <v>19</v>
      </c>
      <c r="F735" s="36">
        <f>IF(AND(ISNUMBER($C735),ISNUMBER($E735)),$C735*$E735,"")</f>
        <v>50278.294000000002</v>
      </c>
      <c r="G735" s="20"/>
      <c r="H735" s="199"/>
      <c r="I735" s="37"/>
      <c r="J735" s="37"/>
      <c r="K735" s="38"/>
    </row>
    <row r="736" spans="1:11" ht="15.75" thickBot="1" x14ac:dyDescent="0.3">
      <c r="A736" s="232" t="s">
        <v>463</v>
      </c>
      <c r="B736" s="232"/>
      <c r="C736" s="232"/>
      <c r="D736" s="232"/>
      <c r="E736" s="39"/>
      <c r="F736" s="40">
        <f>IF(SUM(F734:F735)=0,"-",SUM(F734:F735))</f>
        <v>-18523.582000000002</v>
      </c>
      <c r="G736" s="41"/>
      <c r="H736" s="204" t="str">
        <f>IF(SUM(H733:H735)=0,"-",SUM(H733:H735))</f>
        <v>-</v>
      </c>
      <c r="I736" s="40" t="str">
        <f>IF(SUM(I733:I735)=0,"-",SUM(I733:I735))</f>
        <v>-</v>
      </c>
      <c r="J736" s="40" t="str">
        <f>IF(SUM(J733:J735)=0,"-",SUM(J733:J735))</f>
        <v>-</v>
      </c>
      <c r="K736" s="42" t="str">
        <f>IF(SUM(K733:K735)=0,"-",SUM(K733:K735))</f>
        <v>-</v>
      </c>
    </row>
    <row r="737" spans="1:11" x14ac:dyDescent="0.25">
      <c r="A737" s="233" t="s">
        <v>464</v>
      </c>
      <c r="B737" s="233"/>
      <c r="C737" s="233"/>
      <c r="D737" s="233"/>
      <c r="E737" s="310"/>
      <c r="F737" s="74" t="str">
        <f>IF(OR($E737="",SUM(F736)=0),"",ROUND((SUM(F736))*$E737,2))</f>
        <v/>
      </c>
      <c r="G737" s="6"/>
      <c r="H737" s="251" t="str">
        <f>IF(OR($E737="",SUM(H736)=0),"",ROUND((SUM(H736))*$E737,2))</f>
        <v/>
      </c>
      <c r="I737" s="74" t="str">
        <f>IF(OR($E737="",SUM(I736)=0),"",ROUND((SUM(I736))*$E737,2))</f>
        <v/>
      </c>
      <c r="J737" s="74" t="str">
        <f>IF(OR($E737="",SUM(J736)=0),"",ROUND((SUM(J736))*$E737,2))</f>
        <v/>
      </c>
      <c r="K737" s="75" t="str">
        <f>IF(OR($E737="",SUM(K736)=0),"",ROUND((SUM(K736))*$E737,2))</f>
        <v/>
      </c>
    </row>
    <row r="738" spans="1:11" x14ac:dyDescent="0.25">
      <c r="A738" s="234" t="s">
        <v>465</v>
      </c>
      <c r="B738" s="234"/>
      <c r="C738" s="234"/>
      <c r="D738" s="234"/>
      <c r="E738" s="71">
        <f>$E$517</f>
        <v>0.06</v>
      </c>
      <c r="F738" s="29">
        <f>IF(OR($E738="",SUM(F736)=0),"",ROUND((SUM(F736)+SUM(F737:F737))*$E738,2))</f>
        <v>-1111.4100000000001</v>
      </c>
      <c r="G738" s="20"/>
      <c r="H738" s="200" t="str">
        <f>IF(OR($E738="",SUM(H736)=0),"",ROUND((SUM(H736)+SUM(H737:H737))*$E738,2))</f>
        <v/>
      </c>
      <c r="I738" s="29" t="str">
        <f>IF(OR($E738="",SUM(I736)=0),"",ROUND((SUM(I736)+SUM(I737:I737))*$E738,2))</f>
        <v/>
      </c>
      <c r="J738" s="29" t="str">
        <f>IF(OR($E738="",SUM(J736)=0),"",ROUND((SUM(J736)+SUM(J737:J737))*$E738,2))</f>
        <v/>
      </c>
      <c r="K738" s="30" t="str">
        <f>IF(OR($E738="",SUM(K736)=0),"",ROUND((SUM(K736)+SUM(K737:K737))*$E738,2))</f>
        <v/>
      </c>
    </row>
    <row r="739" spans="1:11" ht="15.75" thickBot="1" x14ac:dyDescent="0.3">
      <c r="A739" s="234" t="s">
        <v>466</v>
      </c>
      <c r="B739" s="234"/>
      <c r="C739" s="234"/>
      <c r="D739" s="234"/>
      <c r="E739" s="71">
        <f>$E$518</f>
        <v>2.75E-2</v>
      </c>
      <c r="F739" s="29">
        <f>IF(OR($E739="",SUM(F736)=0),"",ROUND((SUM(F736)+SUM(F737:F738))*$E739,2))</f>
        <v>-539.96</v>
      </c>
      <c r="G739" s="20"/>
      <c r="H739" s="200" t="str">
        <f>IF(OR($E739="",SUM(H736)=0),"",ROUND((SUM(H736)+SUM(H737:H738))*$E739,2))</f>
        <v/>
      </c>
      <c r="I739" s="29" t="str">
        <f>IF(OR($E739="",SUM(I736)=0),"",ROUND((SUM(I736)+SUM(I737:I738))*$E739,2))</f>
        <v/>
      </c>
      <c r="J739" s="29" t="str">
        <f>IF(OR($E739="",SUM(J736)=0),"",ROUND((SUM(J736)+SUM(J737:J738))*$E739,2))</f>
        <v/>
      </c>
      <c r="K739" s="30" t="str">
        <f>IF(OR($E739="",SUM(K736)=0),"",ROUND((SUM(K736)+SUM(K737:K738))*$E739,2))</f>
        <v/>
      </c>
    </row>
    <row r="740" spans="1:11" ht="15.75" thickBot="1" x14ac:dyDescent="0.3">
      <c r="A740" s="232" t="s">
        <v>475</v>
      </c>
      <c r="B740" s="232"/>
      <c r="C740" s="232"/>
      <c r="D740" s="232"/>
      <c r="E740" s="39"/>
      <c r="F740" s="69">
        <f>IF(SUM(F736,F737:F739)=0,"-",ROUND(SUM(F736,F737:F739),2))</f>
        <v>-20174.95</v>
      </c>
      <c r="G740" s="41"/>
      <c r="H740" s="250" t="str">
        <f>IF(SUM(H736,H737:H739)=0,"-",ROUND(SUM(H736,H737:H739),2))</f>
        <v>-</v>
      </c>
      <c r="I740" s="69" t="str">
        <f>IF(SUM(I736,I737:I739)=0,"-",ROUND(SUM(I736,I737:I739),2))</f>
        <v>-</v>
      </c>
      <c r="J740" s="69" t="str">
        <f>IF(SUM(J736,J737:J739)=0,"-",ROUND(SUM(J736,J737:J739),2))</f>
        <v>-</v>
      </c>
      <c r="K740" s="70" t="str">
        <f>IF(SUM(K736,K737:K739)=0,"-",ROUND(SUM(K736,K737:K739),2))</f>
        <v>-</v>
      </c>
    </row>
    <row r="741" spans="1:11" ht="15.75" thickBot="1" x14ac:dyDescent="0.3"/>
    <row r="742" spans="1:11" ht="15.75" thickBot="1" x14ac:dyDescent="0.3">
      <c r="A742" s="212" t="s">
        <v>1841</v>
      </c>
      <c r="B742" s="212"/>
      <c r="C742" s="212"/>
      <c r="D742" s="212"/>
      <c r="E742" s="212"/>
      <c r="F742" s="212"/>
      <c r="G742" s="6"/>
      <c r="H742" s="7" t="s">
        <v>12</v>
      </c>
      <c r="I742" s="8" t="s">
        <v>13</v>
      </c>
      <c r="J742" s="8" t="s">
        <v>14</v>
      </c>
      <c r="K742" s="9" t="s">
        <v>15</v>
      </c>
    </row>
    <row r="743" spans="1:11" ht="15.75" thickBot="1" x14ac:dyDescent="0.3">
      <c r="A743" s="212"/>
      <c r="B743" s="212"/>
      <c r="C743" s="212"/>
      <c r="D743" s="212"/>
      <c r="E743" s="212"/>
      <c r="F743" s="212"/>
      <c r="G743" s="10"/>
      <c r="H743" s="11"/>
      <c r="I743" s="12"/>
      <c r="J743" s="12"/>
      <c r="K743" s="13"/>
    </row>
    <row r="744" spans="1:11" ht="25.5" x14ac:dyDescent="0.25">
      <c r="A744" s="31" t="s">
        <v>117</v>
      </c>
      <c r="B744" s="32" t="s">
        <v>1839</v>
      </c>
      <c r="C744" s="33">
        <f>-$C$111</f>
        <v>-2646.2260000000001</v>
      </c>
      <c r="D744" s="34" t="s">
        <v>23</v>
      </c>
      <c r="E744" s="35">
        <f>$E$111</f>
        <v>26</v>
      </c>
      <c r="F744" s="36">
        <f>IF(AND(ISNUMBER($C744),ISNUMBER($E744)),$C744*$E744,"")</f>
        <v>-68801.876000000004</v>
      </c>
      <c r="G744" s="20"/>
      <c r="H744" s="199"/>
      <c r="I744" s="37"/>
      <c r="J744" s="37"/>
      <c r="K744" s="38"/>
    </row>
    <row r="745" spans="1:11" ht="26.25" thickBot="1" x14ac:dyDescent="0.3">
      <c r="A745" s="31" t="s">
        <v>117</v>
      </c>
      <c r="B745" s="32" t="s">
        <v>1842</v>
      </c>
      <c r="C745" s="33">
        <f>$C$111</f>
        <v>2646.2260000000001</v>
      </c>
      <c r="D745" s="34" t="s">
        <v>23</v>
      </c>
      <c r="E745" s="35">
        <v>15</v>
      </c>
      <c r="F745" s="36">
        <f>IF(AND(ISNUMBER($C745),ISNUMBER($E745)),$C745*$E745,"")</f>
        <v>39693.39</v>
      </c>
      <c r="G745" s="20"/>
      <c r="H745" s="199"/>
      <c r="I745" s="37"/>
      <c r="J745" s="37"/>
      <c r="K745" s="38"/>
    </row>
    <row r="746" spans="1:11" ht="15.75" thickBot="1" x14ac:dyDescent="0.3">
      <c r="A746" s="232" t="s">
        <v>463</v>
      </c>
      <c r="B746" s="232"/>
      <c r="C746" s="232"/>
      <c r="D746" s="232"/>
      <c r="E746" s="39"/>
      <c r="F746" s="40">
        <f>IF(SUM(F744:F745)=0,"-",SUM(F744:F745))</f>
        <v>-29108.486000000004</v>
      </c>
      <c r="G746" s="41"/>
      <c r="H746" s="204" t="str">
        <f>IF(SUM(H743:H745)=0,"-",SUM(H743:H745))</f>
        <v>-</v>
      </c>
      <c r="I746" s="40" t="str">
        <f>IF(SUM(I743:I745)=0,"-",SUM(I743:I745))</f>
        <v>-</v>
      </c>
      <c r="J746" s="40" t="str">
        <f>IF(SUM(J743:J745)=0,"-",SUM(J743:J745))</f>
        <v>-</v>
      </c>
      <c r="K746" s="42" t="str">
        <f>IF(SUM(K743:K745)=0,"-",SUM(K743:K745))</f>
        <v>-</v>
      </c>
    </row>
    <row r="747" spans="1:11" x14ac:dyDescent="0.25">
      <c r="A747" s="233" t="s">
        <v>464</v>
      </c>
      <c r="B747" s="233"/>
      <c r="C747" s="233"/>
      <c r="D747" s="233"/>
      <c r="E747" s="310"/>
      <c r="F747" s="74" t="str">
        <f>IF(OR($E747="",SUM(F746)=0),"",ROUND((SUM(F746))*$E747,2))</f>
        <v/>
      </c>
      <c r="G747" s="6"/>
      <c r="H747" s="251" t="str">
        <f>IF(OR($E747="",SUM(H746)=0),"",ROUND((SUM(H746))*$E747,2))</f>
        <v/>
      </c>
      <c r="I747" s="74" t="str">
        <f>IF(OR($E747="",SUM(I746)=0),"",ROUND((SUM(I746))*$E747,2))</f>
        <v/>
      </c>
      <c r="J747" s="74" t="str">
        <f>IF(OR($E747="",SUM(J746)=0),"",ROUND((SUM(J746))*$E747,2))</f>
        <v/>
      </c>
      <c r="K747" s="75" t="str">
        <f>IF(OR($E747="",SUM(K746)=0),"",ROUND((SUM(K746))*$E747,2))</f>
        <v/>
      </c>
    </row>
    <row r="748" spans="1:11" x14ac:dyDescent="0.25">
      <c r="A748" s="234" t="s">
        <v>465</v>
      </c>
      <c r="B748" s="234"/>
      <c r="C748" s="234"/>
      <c r="D748" s="234"/>
      <c r="E748" s="71">
        <f>$E$517</f>
        <v>0.06</v>
      </c>
      <c r="F748" s="29">
        <f>IF(OR($E748="",SUM(F746)=0),"",ROUND((SUM(F746)+SUM(F747:F747))*$E748,2))</f>
        <v>-1746.51</v>
      </c>
      <c r="G748" s="20"/>
      <c r="H748" s="200" t="str">
        <f>IF(OR($E748="",SUM(H746)=0),"",ROUND((SUM(H746)+SUM(H747:H747))*$E748,2))</f>
        <v/>
      </c>
      <c r="I748" s="29" t="str">
        <f>IF(OR($E748="",SUM(I746)=0),"",ROUND((SUM(I746)+SUM(I747:I747))*$E748,2))</f>
        <v/>
      </c>
      <c r="J748" s="29" t="str">
        <f>IF(OR($E748="",SUM(J746)=0),"",ROUND((SUM(J746)+SUM(J747:J747))*$E748,2))</f>
        <v/>
      </c>
      <c r="K748" s="30" t="str">
        <f>IF(OR($E748="",SUM(K746)=0),"",ROUND((SUM(K746)+SUM(K747:K747))*$E748,2))</f>
        <v/>
      </c>
    </row>
    <row r="749" spans="1:11" ht="15.75" thickBot="1" x14ac:dyDescent="0.3">
      <c r="A749" s="234" t="s">
        <v>466</v>
      </c>
      <c r="B749" s="234"/>
      <c r="C749" s="234"/>
      <c r="D749" s="234"/>
      <c r="E749" s="71">
        <f>$E$518</f>
        <v>2.75E-2</v>
      </c>
      <c r="F749" s="29">
        <f>IF(OR($E749="",SUM(F746)=0),"",ROUND((SUM(F746)+SUM(F747:F748))*$E749,2))</f>
        <v>-848.51</v>
      </c>
      <c r="G749" s="20"/>
      <c r="H749" s="200" t="str">
        <f>IF(OR($E749="",SUM(H746)=0),"",ROUND((SUM(H746)+SUM(H747:H748))*$E749,2))</f>
        <v/>
      </c>
      <c r="I749" s="29" t="str">
        <f>IF(OR($E749="",SUM(I746)=0),"",ROUND((SUM(I746)+SUM(I747:I748))*$E749,2))</f>
        <v/>
      </c>
      <c r="J749" s="29" t="str">
        <f>IF(OR($E749="",SUM(J746)=0),"",ROUND((SUM(J746)+SUM(J747:J748))*$E749,2))</f>
        <v/>
      </c>
      <c r="K749" s="30" t="str">
        <f>IF(OR($E749="",SUM(K746)=0),"",ROUND((SUM(K746)+SUM(K747:K748))*$E749,2))</f>
        <v/>
      </c>
    </row>
    <row r="750" spans="1:11" ht="15.75" thickBot="1" x14ac:dyDescent="0.3">
      <c r="A750" s="232" t="s">
        <v>475</v>
      </c>
      <c r="B750" s="232"/>
      <c r="C750" s="232"/>
      <c r="D750" s="232"/>
      <c r="E750" s="39"/>
      <c r="F750" s="69">
        <f>IF(SUM(F746,F747:F749)=0,"-",ROUND(SUM(F746,F747:F749),2))</f>
        <v>-31703.51</v>
      </c>
      <c r="G750" s="41"/>
      <c r="H750" s="250" t="str">
        <f>IF(SUM(H746,H747:H749)=0,"-",ROUND(SUM(H746,H747:H749),2))</f>
        <v>-</v>
      </c>
      <c r="I750" s="69" t="str">
        <f>IF(SUM(I746,I747:I749)=0,"-",ROUND(SUM(I746,I747:I749),2))</f>
        <v>-</v>
      </c>
      <c r="J750" s="69" t="str">
        <f>IF(SUM(J746,J747:J749)=0,"-",ROUND(SUM(J746,J747:J749),2))</f>
        <v>-</v>
      </c>
      <c r="K750" s="70" t="str">
        <f>IF(SUM(K746,K747:K749)=0,"-",ROUND(SUM(K746,K747:K749),2))</f>
        <v>-</v>
      </c>
    </row>
    <row r="751" spans="1:11" ht="15.75" thickBot="1" x14ac:dyDescent="0.3"/>
    <row r="752" spans="1:11" ht="15.75" thickBot="1" x14ac:dyDescent="0.3">
      <c r="A752" s="212" t="s">
        <v>1902</v>
      </c>
      <c r="B752" s="212"/>
      <c r="C752" s="212"/>
      <c r="D752" s="212"/>
      <c r="E752" s="212"/>
      <c r="F752" s="212"/>
      <c r="G752" s="6"/>
      <c r="H752" s="7" t="s">
        <v>12</v>
      </c>
      <c r="I752" s="8" t="s">
        <v>13</v>
      </c>
      <c r="J752" s="8" t="s">
        <v>14</v>
      </c>
      <c r="K752" s="9" t="s">
        <v>15</v>
      </c>
    </row>
    <row r="753" spans="1:11" ht="15.75" thickBot="1" x14ac:dyDescent="0.3">
      <c r="A753" s="212"/>
      <c r="B753" s="212"/>
      <c r="C753" s="212"/>
      <c r="D753" s="212"/>
      <c r="E753" s="212"/>
      <c r="F753" s="212"/>
      <c r="G753" s="10"/>
      <c r="H753" s="11"/>
      <c r="I753" s="12"/>
      <c r="J753" s="12"/>
      <c r="K753" s="13"/>
    </row>
    <row r="754" spans="1:11" ht="26.25" thickBot="1" x14ac:dyDescent="0.3">
      <c r="A754" s="31" t="s">
        <v>1903</v>
      </c>
      <c r="B754" s="32" t="s">
        <v>1904</v>
      </c>
      <c r="C754" s="33">
        <v>1</v>
      </c>
      <c r="D754" s="34" t="s">
        <v>19</v>
      </c>
      <c r="E754" s="35">
        <v>6000</v>
      </c>
      <c r="F754" s="36">
        <f>IF(AND(ISNUMBER($C754),ISNUMBER($E754)),$C754*$E754,"")</f>
        <v>6000</v>
      </c>
      <c r="G754" s="20"/>
      <c r="H754" s="199"/>
      <c r="I754" s="37"/>
      <c r="J754" s="37"/>
      <c r="K754" s="38"/>
    </row>
    <row r="755" spans="1:11" ht="15.75" thickBot="1" x14ac:dyDescent="0.3">
      <c r="A755" s="232" t="s">
        <v>463</v>
      </c>
      <c r="B755" s="232"/>
      <c r="C755" s="232"/>
      <c r="D755" s="232"/>
      <c r="E755" s="39"/>
      <c r="F755" s="40">
        <f>IF(SUM(F754:F754)=0,"-",SUM(F754:F754))</f>
        <v>6000</v>
      </c>
      <c r="G755" s="41"/>
      <c r="H755" s="204" t="str">
        <f>IF(SUM(H753:H754)=0,"-",SUM(H753:H754))</f>
        <v>-</v>
      </c>
      <c r="I755" s="40" t="str">
        <f>IF(SUM(I753:I754)=0,"-",SUM(I753:I754))</f>
        <v>-</v>
      </c>
      <c r="J755" s="40" t="str">
        <f>IF(SUM(J753:J754)=0,"-",SUM(J753:J754))</f>
        <v>-</v>
      </c>
      <c r="K755" s="42" t="str">
        <f>IF(SUM(K753:K754)=0,"-",SUM(K753:K754))</f>
        <v>-</v>
      </c>
    </row>
    <row r="756" spans="1:11" x14ac:dyDescent="0.25">
      <c r="A756" s="233" t="s">
        <v>464</v>
      </c>
      <c r="B756" s="233"/>
      <c r="C756" s="233"/>
      <c r="D756" s="233"/>
      <c r="E756" s="310">
        <f>$E$516</f>
        <v>7.4999999999999997E-2</v>
      </c>
      <c r="F756" s="74">
        <f>IF(OR($E756="",SUM(F755)=0),"",ROUND((SUM(F755))*$E756,2))</f>
        <v>450</v>
      </c>
      <c r="G756" s="6"/>
      <c r="H756" s="251" t="str">
        <f>IF(OR($E756="",SUM(H755)=0),"",ROUND((SUM(H755))*$E756,2))</f>
        <v/>
      </c>
      <c r="I756" s="74" t="str">
        <f>IF(OR($E756="",SUM(I755)=0),"",ROUND((SUM(I755))*$E756,2))</f>
        <v/>
      </c>
      <c r="J756" s="74" t="str">
        <f>IF(OR($E756="",SUM(J755)=0),"",ROUND((SUM(J755))*$E756,2))</f>
        <v/>
      </c>
      <c r="K756" s="75" t="str">
        <f>IF(OR($E756="",SUM(K755)=0),"",ROUND((SUM(K755))*$E756,2))</f>
        <v/>
      </c>
    </row>
    <row r="757" spans="1:11" x14ac:dyDescent="0.25">
      <c r="A757" s="234" t="s">
        <v>465</v>
      </c>
      <c r="B757" s="234"/>
      <c r="C757" s="234"/>
      <c r="D757" s="234"/>
      <c r="E757" s="71">
        <f>$E$517</f>
        <v>0.06</v>
      </c>
      <c r="F757" s="29">
        <f>IF(OR($E757="",SUM(F755)=0),"",ROUND((SUM(F755)+SUM(F756:F756))*$E757,2))</f>
        <v>387</v>
      </c>
      <c r="G757" s="20"/>
      <c r="H757" s="200" t="str">
        <f>IF(OR($E757="",SUM(H755)=0),"",ROUND((SUM(H755)+SUM(H756:H756))*$E757,2))</f>
        <v/>
      </c>
      <c r="I757" s="29" t="str">
        <f>IF(OR($E757="",SUM(I755)=0),"",ROUND((SUM(I755)+SUM(I756:I756))*$E757,2))</f>
        <v/>
      </c>
      <c r="J757" s="29" t="str">
        <f>IF(OR($E757="",SUM(J755)=0),"",ROUND((SUM(J755)+SUM(J756:J756))*$E757,2))</f>
        <v/>
      </c>
      <c r="K757" s="30" t="str">
        <f>IF(OR($E757="",SUM(K755)=0),"",ROUND((SUM(K755)+SUM(K756:K756))*$E757,2))</f>
        <v/>
      </c>
    </row>
    <row r="758" spans="1:11" ht="15.75" thickBot="1" x14ac:dyDescent="0.3">
      <c r="A758" s="234" t="s">
        <v>466</v>
      </c>
      <c r="B758" s="234"/>
      <c r="C758" s="234"/>
      <c r="D758" s="234"/>
      <c r="E758" s="71">
        <f>$E$518</f>
        <v>2.75E-2</v>
      </c>
      <c r="F758" s="29">
        <f>IF(OR($E758="",SUM(F755)=0),"",ROUND((SUM(F755)+SUM(F756:F757))*$E758,2))</f>
        <v>188.02</v>
      </c>
      <c r="G758" s="20"/>
      <c r="H758" s="200" t="str">
        <f>IF(OR($E758="",SUM(H755)=0),"",ROUND((SUM(H755)+SUM(H756:H757))*$E758,2))</f>
        <v/>
      </c>
      <c r="I758" s="29" t="str">
        <f>IF(OR($E758="",SUM(I755)=0),"",ROUND((SUM(I755)+SUM(I756:I757))*$E758,2))</f>
        <v/>
      </c>
      <c r="J758" s="29" t="str">
        <f>IF(OR($E758="",SUM(J755)=0),"",ROUND((SUM(J755)+SUM(J756:J757))*$E758,2))</f>
        <v/>
      </c>
      <c r="K758" s="30" t="str">
        <f>IF(OR($E758="",SUM(K755)=0),"",ROUND((SUM(K755)+SUM(K756:K757))*$E758,2))</f>
        <v/>
      </c>
    </row>
    <row r="759" spans="1:11" ht="15.75" thickBot="1" x14ac:dyDescent="0.3">
      <c r="A759" s="232" t="s">
        <v>475</v>
      </c>
      <c r="B759" s="232"/>
      <c r="C759" s="232"/>
      <c r="D759" s="232"/>
      <c r="E759" s="39"/>
      <c r="F759" s="69">
        <f>IF(SUM(F755,F756:F758)=0,"-",ROUND(SUM(F755,F756:F758),2))</f>
        <v>7025.02</v>
      </c>
      <c r="G759" s="41"/>
      <c r="H759" s="250" t="str">
        <f>IF(SUM(H755,H756:H758)=0,"-",ROUND(SUM(H755,H756:H758),2))</f>
        <v>-</v>
      </c>
      <c r="I759" s="69" t="str">
        <f>IF(SUM(I755,I756:I758)=0,"-",ROUND(SUM(I755,I756:I758),2))</f>
        <v>-</v>
      </c>
      <c r="J759" s="69" t="str">
        <f>IF(SUM(J755,J756:J758)=0,"-",ROUND(SUM(J755,J756:J758),2))</f>
        <v>-</v>
      </c>
      <c r="K759" s="70" t="str">
        <f>IF(SUM(K755,K756:K758)=0,"-",ROUND(SUM(K755,K756:K758),2))</f>
        <v>-</v>
      </c>
    </row>
    <row r="761" spans="1:11" ht="15.75" x14ac:dyDescent="0.25">
      <c r="A761" s="150" t="s">
        <v>1605</v>
      </c>
      <c r="B761" s="151"/>
      <c r="C761" s="151"/>
      <c r="D761" s="151"/>
      <c r="E761" s="151"/>
      <c r="F761" s="152">
        <f>ROUND(F519+SUM(F543,F552,F568,F578,F593,F604,F619,F631,F648,F658,F667,F678,F690,F700,F712,F721,F730,F740,F750,F759),2)</f>
        <v>5459874.2400000002</v>
      </c>
    </row>
  </sheetData>
  <mergeCells count="199">
    <mergeCell ref="A755:D755"/>
    <mergeCell ref="A756:D756"/>
    <mergeCell ref="A757:D757"/>
    <mergeCell ref="A758:D758"/>
    <mergeCell ref="A759:D759"/>
    <mergeCell ref="A739:D739"/>
    <mergeCell ref="A740:D740"/>
    <mergeCell ref="A742:F743"/>
    <mergeCell ref="A746:D746"/>
    <mergeCell ref="A747:D747"/>
    <mergeCell ref="A748:D748"/>
    <mergeCell ref="A749:D749"/>
    <mergeCell ref="A750:D750"/>
    <mergeCell ref="A752:F753"/>
    <mergeCell ref="A726:D726"/>
    <mergeCell ref="A727:D727"/>
    <mergeCell ref="A728:D728"/>
    <mergeCell ref="A729:D729"/>
    <mergeCell ref="A730:D730"/>
    <mergeCell ref="A732:F733"/>
    <mergeCell ref="A736:D736"/>
    <mergeCell ref="A737:D737"/>
    <mergeCell ref="A738:D738"/>
    <mergeCell ref="A714:F715"/>
    <mergeCell ref="A717:D717"/>
    <mergeCell ref="A718:D718"/>
    <mergeCell ref="A719:D719"/>
    <mergeCell ref="A720:D720"/>
    <mergeCell ref="A721:D721"/>
    <mergeCell ref="A489:F490"/>
    <mergeCell ref="A497:D497"/>
    <mergeCell ref="A723:F724"/>
    <mergeCell ref="A699:D699"/>
    <mergeCell ref="A700:D700"/>
    <mergeCell ref="A702:F703"/>
    <mergeCell ref="A708:D708"/>
    <mergeCell ref="A709:D709"/>
    <mergeCell ref="A710:D710"/>
    <mergeCell ref="A711:D711"/>
    <mergeCell ref="A712:D712"/>
    <mergeCell ref="A686:D686"/>
    <mergeCell ref="A687:D687"/>
    <mergeCell ref="A688:D688"/>
    <mergeCell ref="A689:D689"/>
    <mergeCell ref="A690:D690"/>
    <mergeCell ref="A692:F693"/>
    <mergeCell ref="A696:D696"/>
    <mergeCell ref="A697:D697"/>
    <mergeCell ref="A698:D698"/>
    <mergeCell ref="A666:D666"/>
    <mergeCell ref="A667:D667"/>
    <mergeCell ref="A669:F670"/>
    <mergeCell ref="A674:D674"/>
    <mergeCell ref="A675:D675"/>
    <mergeCell ref="A676:D676"/>
    <mergeCell ref="A677:D677"/>
    <mergeCell ref="A678:D678"/>
    <mergeCell ref="A680:F681"/>
    <mergeCell ref="A654:D654"/>
    <mergeCell ref="A655:D655"/>
    <mergeCell ref="A656:D656"/>
    <mergeCell ref="A657:D657"/>
    <mergeCell ref="A658:D658"/>
    <mergeCell ref="A660:F661"/>
    <mergeCell ref="A663:D663"/>
    <mergeCell ref="A664:D664"/>
    <mergeCell ref="A665:D665"/>
    <mergeCell ref="A630:D630"/>
    <mergeCell ref="A631:D631"/>
    <mergeCell ref="A633:F634"/>
    <mergeCell ref="A644:D644"/>
    <mergeCell ref="A645:D645"/>
    <mergeCell ref="A646:D646"/>
    <mergeCell ref="A647:D647"/>
    <mergeCell ref="A648:D648"/>
    <mergeCell ref="A650:F651"/>
    <mergeCell ref="A615:D615"/>
    <mergeCell ref="A616:D616"/>
    <mergeCell ref="A617:D617"/>
    <mergeCell ref="A618:D618"/>
    <mergeCell ref="A619:D619"/>
    <mergeCell ref="A621:F622"/>
    <mergeCell ref="A627:D627"/>
    <mergeCell ref="A628:D628"/>
    <mergeCell ref="A629:D629"/>
    <mergeCell ref="A592:D592"/>
    <mergeCell ref="A593:D593"/>
    <mergeCell ref="A595:F596"/>
    <mergeCell ref="A600:D600"/>
    <mergeCell ref="A601:D601"/>
    <mergeCell ref="A602:D602"/>
    <mergeCell ref="A603:D603"/>
    <mergeCell ref="A604:D604"/>
    <mergeCell ref="A606:F607"/>
    <mergeCell ref="A574:D574"/>
    <mergeCell ref="A575:D575"/>
    <mergeCell ref="A576:D576"/>
    <mergeCell ref="A577:D577"/>
    <mergeCell ref="A578:D578"/>
    <mergeCell ref="A580:F581"/>
    <mergeCell ref="A589:D589"/>
    <mergeCell ref="A590:D590"/>
    <mergeCell ref="A591:D591"/>
    <mergeCell ref="A551:D551"/>
    <mergeCell ref="A552:D552"/>
    <mergeCell ref="A554:F555"/>
    <mergeCell ref="A564:D564"/>
    <mergeCell ref="A565:D565"/>
    <mergeCell ref="A566:D566"/>
    <mergeCell ref="A567:D567"/>
    <mergeCell ref="A568:D568"/>
    <mergeCell ref="A570:F571"/>
    <mergeCell ref="A539:D539"/>
    <mergeCell ref="A540:D540"/>
    <mergeCell ref="A541:D541"/>
    <mergeCell ref="A542:D542"/>
    <mergeCell ref="A543:D543"/>
    <mergeCell ref="A545:F546"/>
    <mergeCell ref="A548:D548"/>
    <mergeCell ref="A549:D549"/>
    <mergeCell ref="A550:D550"/>
    <mergeCell ref="A515:D515"/>
    <mergeCell ref="A516:D516"/>
    <mergeCell ref="A517:D517"/>
    <mergeCell ref="A518:D518"/>
    <mergeCell ref="A519:D519"/>
    <mergeCell ref="A529:K529"/>
    <mergeCell ref="A531:F532"/>
    <mergeCell ref="A446:D446"/>
    <mergeCell ref="A448:F449"/>
    <mergeCell ref="A499:F500"/>
    <mergeCell ref="A503:D503"/>
    <mergeCell ref="A505:F506"/>
    <mergeCell ref="A513:D513"/>
    <mergeCell ref="A487:D487"/>
    <mergeCell ref="A450:F450"/>
    <mergeCell ref="A338:F339"/>
    <mergeCell ref="A350:D350"/>
    <mergeCell ref="A352:F353"/>
    <mergeCell ref="A371:D371"/>
    <mergeCell ref="A373:F374"/>
    <mergeCell ref="A387:D387"/>
    <mergeCell ref="A389:F390"/>
    <mergeCell ref="A294:D294"/>
    <mergeCell ref="A296:F297"/>
    <mergeCell ref="A312:D312"/>
    <mergeCell ref="A314:F315"/>
    <mergeCell ref="A320:D320"/>
    <mergeCell ref="A322:F323"/>
    <mergeCell ref="A330:D330"/>
    <mergeCell ref="A332:F333"/>
    <mergeCell ref="A336:D336"/>
    <mergeCell ref="A240:F241"/>
    <mergeCell ref="A245:D245"/>
    <mergeCell ref="A247:F248"/>
    <mergeCell ref="A255:D255"/>
    <mergeCell ref="A257:F258"/>
    <mergeCell ref="A280:D280"/>
    <mergeCell ref="A282:F283"/>
    <mergeCell ref="A288:D288"/>
    <mergeCell ref="A290:F291"/>
    <mergeCell ref="A183:D183"/>
    <mergeCell ref="A185:F186"/>
    <mergeCell ref="A198:D198"/>
    <mergeCell ref="A200:F201"/>
    <mergeCell ref="A220:D220"/>
    <mergeCell ref="A222:F223"/>
    <mergeCell ref="A232:D232"/>
    <mergeCell ref="A234:F235"/>
    <mergeCell ref="A238:D238"/>
    <mergeCell ref="A117:F118"/>
    <mergeCell ref="A129:D129"/>
    <mergeCell ref="A131:F132"/>
    <mergeCell ref="A142:D142"/>
    <mergeCell ref="A156:F157"/>
    <mergeCell ref="A161:D161"/>
    <mergeCell ref="A163:F164"/>
    <mergeCell ref="A174:D174"/>
    <mergeCell ref="A176:F177"/>
    <mergeCell ref="A144:F145"/>
    <mergeCell ref="A154:D154"/>
    <mergeCell ref="A34:D34"/>
    <mergeCell ref="A36:F37"/>
    <mergeCell ref="A50:D50"/>
    <mergeCell ref="A52:F53"/>
    <mergeCell ref="A68:D68"/>
    <mergeCell ref="A70:F71"/>
    <mergeCell ref="A107:D107"/>
    <mergeCell ref="A109:F110"/>
    <mergeCell ref="A115:D115"/>
    <mergeCell ref="A1:K1"/>
    <mergeCell ref="A2:K2"/>
    <mergeCell ref="A3:B3"/>
    <mergeCell ref="C3:K3"/>
    <mergeCell ref="A5:K5"/>
    <mergeCell ref="A6:K6"/>
    <mergeCell ref="A9:F10"/>
    <mergeCell ref="A17:D17"/>
    <mergeCell ref="A19:F20"/>
  </mergeCells>
  <pageMargins left="0.4" right="0.4" top="0.5" bottom="0.5" header="0.5" footer="0.5"/>
  <pageSetup fitToHeight="0" orientation="landscape" horizontalDpi="300" verticalDpi="300" r:id="rId1"/>
  <headerFooter>
    <oddHeader>&amp;LEun/Yu Residence -- 28 Country Club Lane South -- Estimate&amp;RPage &amp;P of &amp;N</oddHeader>
    <oddFooter>&amp;CBLDG Estimating&amp;R2026-09-23</oddFooter>
  </headerFooter>
  <rowBreaks count="1" manualBreakCount="1">
    <brk id="528" max="16383" man="1"/>
  </rowBreaks>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K71"/>
  <sheetViews>
    <sheetView showGridLines="0" tabSelected="1" zoomScaleNormal="100" workbookViewId="0">
      <pane xSplit="2" ySplit="5" topLeftCell="C63" activePane="bottomRight" state="frozen"/>
      <selection pane="topRight" activeCell="C1" sqref="C1"/>
      <selection pane="bottomLeft" activeCell="A6" sqref="A6"/>
      <selection pane="bottomRight" activeCell="D72" sqref="D72"/>
    </sheetView>
  </sheetViews>
  <sheetFormatPr defaultColWidth="8.7109375" defaultRowHeight="15" x14ac:dyDescent="0.25"/>
  <cols>
    <col min="1" max="1" width="20" customWidth="1"/>
    <col min="2" max="2" width="32" customWidth="1"/>
    <col min="3" max="4" width="16" customWidth="1"/>
    <col min="5" max="9" width="15" customWidth="1"/>
    <col min="10" max="10" width="16" customWidth="1"/>
    <col min="11" max="11" width="16" style="244" customWidth="1"/>
  </cols>
  <sheetData>
    <row r="1" spans="1:11" ht="24" customHeight="1" x14ac:dyDescent="0.35">
      <c r="A1" s="237" t="s">
        <v>613</v>
      </c>
      <c r="B1" s="237"/>
      <c r="C1" s="237"/>
      <c r="D1" s="237"/>
      <c r="E1" s="237"/>
      <c r="F1" s="237"/>
      <c r="G1" s="237"/>
      <c r="H1" s="237"/>
      <c r="I1" s="237"/>
      <c r="J1" s="237"/>
      <c r="K1" s="237"/>
    </row>
    <row r="2" spans="1:11" ht="18" customHeight="1" x14ac:dyDescent="0.25">
      <c r="A2" s="238" t="s">
        <v>614</v>
      </c>
      <c r="B2" s="238"/>
      <c r="C2" s="238"/>
      <c r="D2" s="238"/>
      <c r="E2" s="238"/>
      <c r="F2" s="238"/>
      <c r="G2" s="238"/>
      <c r="H2" s="238"/>
      <c r="I2" s="238"/>
      <c r="J2" s="238"/>
      <c r="K2" s="238"/>
    </row>
    <row r="3" spans="1:11" ht="25.5" customHeight="1" x14ac:dyDescent="0.25">
      <c r="A3" s="239" t="s">
        <v>615</v>
      </c>
      <c r="B3" s="239"/>
      <c r="C3" s="239"/>
      <c r="D3" s="239"/>
      <c r="E3" s="239"/>
      <c r="F3" s="239"/>
      <c r="G3" s="239"/>
      <c r="H3" s="239"/>
      <c r="I3" s="239"/>
      <c r="J3" s="239"/>
      <c r="K3" s="239"/>
    </row>
    <row r="5" spans="1:11" ht="30" customHeight="1" thickBot="1" x14ac:dyDescent="0.3">
      <c r="A5" s="85" t="s">
        <v>6</v>
      </c>
      <c r="B5" s="86" t="s">
        <v>616</v>
      </c>
      <c r="C5" s="87" t="s">
        <v>617</v>
      </c>
      <c r="D5" s="88" t="s">
        <v>618</v>
      </c>
      <c r="E5" s="87" t="s">
        <v>12</v>
      </c>
      <c r="F5" s="87" t="s">
        <v>13</v>
      </c>
      <c r="G5" s="87" t="s">
        <v>14</v>
      </c>
      <c r="H5" s="87" t="s">
        <v>15</v>
      </c>
      <c r="I5" s="87" t="s">
        <v>619</v>
      </c>
      <c r="J5" s="87" t="s">
        <v>620</v>
      </c>
      <c r="K5" s="89" t="s">
        <v>621</v>
      </c>
    </row>
    <row r="6" spans="1:11" ht="21.75" customHeight="1" x14ac:dyDescent="0.25">
      <c r="A6" s="90" t="s">
        <v>623</v>
      </c>
      <c r="B6" s="91" t="s">
        <v>624</v>
      </c>
      <c r="C6" s="36">
        <f>Estimate!F34</f>
        <v>131662.69488888892</v>
      </c>
      <c r="D6" s="92">
        <v>149900</v>
      </c>
      <c r="E6" s="37" t="str">
        <f>IF(Estimate!H34="-","",Estimate!H34)</f>
        <v/>
      </c>
      <c r="F6" s="37" t="str">
        <f>IF(Estimate!I34="-","",Estimate!I34)</f>
        <v/>
      </c>
      <c r="G6" s="37" t="str">
        <f>IF(Estimate!J34="-","",Estimate!J34)</f>
        <v/>
      </c>
      <c r="H6" s="37" t="str">
        <f>IF(Estimate!K34="-","",Estimate!K34)</f>
        <v/>
      </c>
      <c r="I6" s="36" t="str">
        <f t="shared" ref="I6:I38" si="0">IF(COUNT(E6:H6)=0,"",MIN(E6:H6))</f>
        <v/>
      </c>
      <c r="J6" s="93" t="str">
        <f t="shared" ref="J6:J38" si="1">IF(I6="","",INDEX($E$5:$H$5,MATCH(I6,E6:H6,0)))</f>
        <v/>
      </c>
      <c r="K6" s="288" t="str">
        <f t="shared" ref="K6:K38" si="2">IF(OR(I6="",N(C6)=0),"",I6-C6)</f>
        <v/>
      </c>
    </row>
    <row r="7" spans="1:11" ht="21.75" customHeight="1" x14ac:dyDescent="0.25">
      <c r="A7" s="90" t="s">
        <v>50</v>
      </c>
      <c r="B7" s="91" t="s">
        <v>625</v>
      </c>
      <c r="C7" s="36">
        <f>Estimate!F50</f>
        <v>306086.64999999997</v>
      </c>
      <c r="D7" s="92">
        <f>ROUND(E7,0)</f>
        <v>330000</v>
      </c>
      <c r="E7" s="37">
        <f>IF(Estimate!H50="-","",Estimate!H50)</f>
        <v>330000</v>
      </c>
      <c r="F7" s="37" t="str">
        <f>IF(Estimate!I50="-","",Estimate!I50)</f>
        <v/>
      </c>
      <c r="G7" s="37" t="str">
        <f>IF(Estimate!J50="-","",Estimate!J50)</f>
        <v/>
      </c>
      <c r="H7" s="37" t="str">
        <f>IF(Estimate!K50="-","",Estimate!K50)</f>
        <v/>
      </c>
      <c r="I7" s="36">
        <f t="shared" si="0"/>
        <v>330000</v>
      </c>
      <c r="J7" s="93" t="str">
        <f t="shared" si="1"/>
        <v>Sub #1</v>
      </c>
      <c r="K7" s="288">
        <f t="shared" si="2"/>
        <v>23913.350000000035</v>
      </c>
    </row>
    <row r="8" spans="1:11" ht="21.75" customHeight="1" x14ac:dyDescent="0.25">
      <c r="A8" s="90" t="s">
        <v>626</v>
      </c>
      <c r="B8" s="91" t="s">
        <v>627</v>
      </c>
      <c r="C8" s="36">
        <f>Estimate!F68</f>
        <v>257533.52</v>
      </c>
      <c r="D8" s="92">
        <f>ROUND(C8,0)</f>
        <v>257534</v>
      </c>
      <c r="E8" s="37" t="str">
        <f>IF(Estimate!H68="-","",Estimate!H68)</f>
        <v/>
      </c>
      <c r="F8" s="37" t="str">
        <f>IF(Estimate!I68="-","",Estimate!I68)</f>
        <v/>
      </c>
      <c r="G8" s="37" t="str">
        <f>IF(Estimate!J68="-","",Estimate!J68)</f>
        <v/>
      </c>
      <c r="H8" s="37" t="str">
        <f>IF(Estimate!K68="-","",Estimate!K68)</f>
        <v/>
      </c>
      <c r="I8" s="36" t="str">
        <f t="shared" si="0"/>
        <v/>
      </c>
      <c r="J8" s="93" t="str">
        <f t="shared" si="1"/>
        <v/>
      </c>
      <c r="K8" s="288" t="str">
        <f t="shared" si="2"/>
        <v/>
      </c>
    </row>
    <row r="9" spans="1:11" ht="21.75" customHeight="1" x14ac:dyDescent="0.25">
      <c r="A9" s="90" t="s">
        <v>80</v>
      </c>
      <c r="B9" s="91" t="s">
        <v>628</v>
      </c>
      <c r="C9" s="36">
        <f>Estimate!F107</f>
        <v>101716.035013</v>
      </c>
      <c r="D9" s="92">
        <f>ROUND(E9+50000,0)</f>
        <v>122500</v>
      </c>
      <c r="E9" s="37">
        <f>IF(Estimate!H107="-","",Estimate!H107)</f>
        <v>72500</v>
      </c>
      <c r="F9" s="37" t="str">
        <f>IF(Estimate!I107="-","",Estimate!I107)</f>
        <v/>
      </c>
      <c r="G9" s="37" t="str">
        <f>IF(Estimate!J107="-","",Estimate!J107)</f>
        <v/>
      </c>
      <c r="H9" s="37" t="str">
        <f>IF(Estimate!K107="-","",Estimate!K107)</f>
        <v/>
      </c>
      <c r="I9" s="36">
        <f t="shared" si="0"/>
        <v>72500</v>
      </c>
      <c r="J9" s="93" t="str">
        <f t="shared" si="1"/>
        <v>Sub #1</v>
      </c>
      <c r="K9" s="288">
        <f t="shared" si="2"/>
        <v>-29216.035013000001</v>
      </c>
    </row>
    <row r="10" spans="1:11" ht="21.75" customHeight="1" x14ac:dyDescent="0.25">
      <c r="A10" s="90" t="s">
        <v>117</v>
      </c>
      <c r="B10" s="91" t="s">
        <v>629</v>
      </c>
      <c r="C10" s="36">
        <f>Estimate!F115</f>
        <v>105113.36200000001</v>
      </c>
      <c r="D10" s="92">
        <f>ROUND(C10,0)</f>
        <v>105113</v>
      </c>
      <c r="E10" s="37" t="str">
        <f>IF(Estimate!H115="-","",Estimate!H115)</f>
        <v/>
      </c>
      <c r="F10" s="37" t="str">
        <f>IF(Estimate!I115="-","",Estimate!I115)</f>
        <v/>
      </c>
      <c r="G10" s="37" t="str">
        <f>IF(Estimate!J115="-","",Estimate!J115)</f>
        <v/>
      </c>
      <c r="H10" s="37" t="str">
        <f>IF(Estimate!K115="-","",Estimate!K115)</f>
        <v/>
      </c>
      <c r="I10" s="36" t="str">
        <f t="shared" si="0"/>
        <v/>
      </c>
      <c r="J10" s="93" t="str">
        <f t="shared" si="1"/>
        <v/>
      </c>
      <c r="K10" s="288" t="str">
        <f t="shared" si="2"/>
        <v/>
      </c>
    </row>
    <row r="11" spans="1:11" ht="21.75" customHeight="1" x14ac:dyDescent="0.25">
      <c r="A11" s="90" t="s">
        <v>630</v>
      </c>
      <c r="B11" s="91" t="s">
        <v>631</v>
      </c>
      <c r="C11" s="36">
        <f>Estimate!F129</f>
        <v>108426.54</v>
      </c>
      <c r="D11" s="92">
        <v>115756</v>
      </c>
      <c r="E11" s="37" t="str">
        <f>IF(Estimate!H129="-","",Estimate!H129)</f>
        <v/>
      </c>
      <c r="F11" s="37" t="str">
        <f>IF(Estimate!I129="-","",Estimate!I129)</f>
        <v/>
      </c>
      <c r="G11" s="37" t="str">
        <f>IF(Estimate!J129="-","",Estimate!J129)</f>
        <v/>
      </c>
      <c r="H11" s="37" t="str">
        <f>IF(Estimate!K129="-","",Estimate!K129)</f>
        <v/>
      </c>
      <c r="I11" s="36" t="str">
        <f t="shared" si="0"/>
        <v/>
      </c>
      <c r="J11" s="93" t="str">
        <f t="shared" si="1"/>
        <v/>
      </c>
      <c r="K11" s="288" t="str">
        <f t="shared" si="2"/>
        <v/>
      </c>
    </row>
    <row r="12" spans="1:11" ht="21.75" customHeight="1" x14ac:dyDescent="0.25">
      <c r="A12" s="90" t="s">
        <v>134</v>
      </c>
      <c r="B12" s="281" t="s">
        <v>1639</v>
      </c>
      <c r="C12" s="36">
        <f>Estimate!F142</f>
        <v>33000</v>
      </c>
      <c r="D12" s="92">
        <f>ROUND(C12,0)</f>
        <v>33000</v>
      </c>
      <c r="E12" s="37" t="str">
        <f>IF(Estimate!H142="-","",Estimate!H142)</f>
        <v/>
      </c>
      <c r="F12" s="37" t="str">
        <f>IF(Estimate!I142="-","",Estimate!I142)</f>
        <v/>
      </c>
      <c r="G12" s="37" t="str">
        <f>IF(Estimate!J142="-","",Estimate!J142)</f>
        <v/>
      </c>
      <c r="H12" s="37" t="str">
        <f>IF(Estimate!K142="-","",Estimate!K142)</f>
        <v/>
      </c>
      <c r="I12" s="36" t="str">
        <f t="shared" si="0"/>
        <v/>
      </c>
      <c r="J12" s="93" t="str">
        <f t="shared" si="1"/>
        <v/>
      </c>
      <c r="K12" s="288" t="str">
        <f t="shared" si="2"/>
        <v/>
      </c>
    </row>
    <row r="13" spans="1:11" ht="21.75" customHeight="1" x14ac:dyDescent="0.25">
      <c r="A13" s="90" t="s">
        <v>134</v>
      </c>
      <c r="B13" s="281" t="s">
        <v>1640</v>
      </c>
      <c r="C13" s="36">
        <f>Estimate!F154</f>
        <v>34682</v>
      </c>
      <c r="D13" s="92">
        <f>ROUND(C13,0)</f>
        <v>34682</v>
      </c>
      <c r="E13" s="37" t="str">
        <f>IF(Estimate!H154="-","",Estimate!H154)</f>
        <v/>
      </c>
      <c r="F13" s="37" t="str">
        <f>IF(Estimate!I154="-","",Estimate!I154)</f>
        <v/>
      </c>
      <c r="G13" s="37" t="str">
        <f>IF(Estimate!J154="-","",Estimate!J154)</f>
        <v/>
      </c>
      <c r="H13" s="37" t="str">
        <f>IF(Estimate!K154="-","",Estimate!K154)</f>
        <v/>
      </c>
      <c r="I13" s="36" t="str">
        <f>IF(COUNT(E13:H13)=0,"",MIN(E13:H13))</f>
        <v/>
      </c>
      <c r="J13" s="93" t="str">
        <f>IF(I13="","",INDEX($E$5:$H$5,MATCH(I13,E13:H13,0)))</f>
        <v/>
      </c>
      <c r="K13" s="288" t="str">
        <f>IF(OR(I13="",N(C13)=0),"",I13-C13)</f>
        <v/>
      </c>
    </row>
    <row r="14" spans="1:11" ht="36" customHeight="1" x14ac:dyDescent="0.25">
      <c r="A14" s="90" t="s">
        <v>633</v>
      </c>
      <c r="B14" s="91" t="s">
        <v>634</v>
      </c>
      <c r="C14" s="36">
        <f>Estimate!F161</f>
        <v>7887.4</v>
      </c>
      <c r="D14" s="92">
        <v>9000</v>
      </c>
      <c r="E14" s="37" t="str">
        <f>IF(Estimate!H161="-","",Estimate!H161)</f>
        <v/>
      </c>
      <c r="F14" s="37" t="str">
        <f>IF(Estimate!I161="-","",Estimate!I161)</f>
        <v/>
      </c>
      <c r="G14" s="37" t="str">
        <f>IF(Estimate!J161="-","",Estimate!J161)</f>
        <v/>
      </c>
      <c r="H14" s="37" t="str">
        <f>IF(Estimate!K161="-","",Estimate!K161)</f>
        <v/>
      </c>
      <c r="I14" s="36" t="str">
        <f t="shared" si="0"/>
        <v/>
      </c>
      <c r="J14" s="93" t="str">
        <f t="shared" si="1"/>
        <v/>
      </c>
      <c r="K14" s="288" t="str">
        <f t="shared" si="2"/>
        <v/>
      </c>
    </row>
    <row r="15" spans="1:11" ht="21.75" customHeight="1" x14ac:dyDescent="0.25">
      <c r="A15" s="90" t="s">
        <v>158</v>
      </c>
      <c r="B15" s="91" t="s">
        <v>635</v>
      </c>
      <c r="C15" s="36">
        <f>Estimate!F174</f>
        <v>52719.943100000004</v>
      </c>
      <c r="D15" s="92">
        <f>ROUND(C15,0)</f>
        <v>52720</v>
      </c>
      <c r="E15" s="37" t="str">
        <f>IF(Estimate!H174="-","",Estimate!H174)</f>
        <v/>
      </c>
      <c r="F15" s="37" t="str">
        <f>IF(Estimate!I174="-","",Estimate!I174)</f>
        <v/>
      </c>
      <c r="G15" s="37" t="str">
        <f>IF(Estimate!J174="-","",Estimate!J174)</f>
        <v/>
      </c>
      <c r="H15" s="37" t="str">
        <f>IF(Estimate!K174="-","",Estimate!K174)</f>
        <v/>
      </c>
      <c r="I15" s="36" t="str">
        <f t="shared" si="0"/>
        <v/>
      </c>
      <c r="J15" s="93" t="str">
        <f t="shared" si="1"/>
        <v/>
      </c>
      <c r="K15" s="288" t="str">
        <f t="shared" si="2"/>
        <v/>
      </c>
    </row>
    <row r="16" spans="1:11" ht="21.75" customHeight="1" x14ac:dyDescent="0.25">
      <c r="A16" s="90" t="s">
        <v>636</v>
      </c>
      <c r="B16" s="91" t="s">
        <v>637</v>
      </c>
      <c r="C16" s="36">
        <f>Estimate!F183</f>
        <v>149019.71000000002</v>
      </c>
      <c r="D16" s="92">
        <f>ROUND(C16,0)</f>
        <v>149020</v>
      </c>
      <c r="E16" s="37" t="str">
        <f>IF(Estimate!H183="-","",Estimate!H183)</f>
        <v/>
      </c>
      <c r="F16" s="37" t="str">
        <f>IF(Estimate!I183="-","",Estimate!I183)</f>
        <v/>
      </c>
      <c r="G16" s="37" t="str">
        <f>IF(Estimate!J183="-","",Estimate!J183)</f>
        <v/>
      </c>
      <c r="H16" s="37" t="str">
        <f>IF(Estimate!K183="-","",Estimate!K183)</f>
        <v/>
      </c>
      <c r="I16" s="36" t="str">
        <f t="shared" si="0"/>
        <v/>
      </c>
      <c r="J16" s="93" t="str">
        <f t="shared" si="1"/>
        <v/>
      </c>
      <c r="K16" s="288" t="str">
        <f t="shared" si="2"/>
        <v/>
      </c>
    </row>
    <row r="17" spans="1:11" ht="21.75" customHeight="1" x14ac:dyDescent="0.25">
      <c r="A17" s="90" t="s">
        <v>638</v>
      </c>
      <c r="B17" s="91" t="s">
        <v>639</v>
      </c>
      <c r="C17" s="36">
        <f>Estimate!F198</f>
        <v>186515.34051659037</v>
      </c>
      <c r="D17" s="92">
        <f>ROUND(C17,0)</f>
        <v>186515</v>
      </c>
      <c r="E17" s="37" t="str">
        <f>IF(Estimate!H198="-","",Estimate!H198)</f>
        <v/>
      </c>
      <c r="F17" s="37" t="str">
        <f>IF(Estimate!I198="-","",Estimate!I198)</f>
        <v/>
      </c>
      <c r="G17" s="37" t="str">
        <f>IF(Estimate!J198="-","",Estimate!J198)</f>
        <v/>
      </c>
      <c r="H17" s="37" t="str">
        <f>IF(Estimate!K198="-","",Estimate!K198)</f>
        <v/>
      </c>
      <c r="I17" s="36" t="str">
        <f t="shared" si="0"/>
        <v/>
      </c>
      <c r="J17" s="93" t="str">
        <f t="shared" si="1"/>
        <v/>
      </c>
      <c r="K17" s="288" t="str">
        <f t="shared" si="2"/>
        <v/>
      </c>
    </row>
    <row r="18" spans="1:11" ht="36" customHeight="1" x14ac:dyDescent="0.25">
      <c r="A18" s="90" t="s">
        <v>640</v>
      </c>
      <c r="B18" s="91" t="s">
        <v>641</v>
      </c>
      <c r="C18" s="36">
        <f>Estimate!F220</f>
        <v>149249.24</v>
      </c>
      <c r="D18" s="92">
        <f>ROUND(32350+51250+38610+22500+23125+6525,0)</f>
        <v>174360</v>
      </c>
      <c r="E18" s="37" t="str">
        <f>IF(Estimate!H220="-","",Estimate!H220)</f>
        <v/>
      </c>
      <c r="F18" s="37" t="str">
        <f>IF(Estimate!I220="-","",Estimate!I220)</f>
        <v/>
      </c>
      <c r="G18" s="37" t="str">
        <f>IF(Estimate!J220="-","",Estimate!J220)</f>
        <v/>
      </c>
      <c r="H18" s="37" t="str">
        <f>IF(Estimate!K220="-","",Estimate!K220)</f>
        <v/>
      </c>
      <c r="I18" s="36" t="str">
        <f t="shared" si="0"/>
        <v/>
      </c>
      <c r="J18" s="93" t="str">
        <f t="shared" si="1"/>
        <v/>
      </c>
      <c r="K18" s="288" t="str">
        <f t="shared" si="2"/>
        <v/>
      </c>
    </row>
    <row r="19" spans="1:11" ht="21.75" customHeight="1" x14ac:dyDescent="0.25">
      <c r="A19" s="90" t="s">
        <v>642</v>
      </c>
      <c r="B19" s="91" t="s">
        <v>643</v>
      </c>
      <c r="C19" s="36">
        <f>Estimate!F232</f>
        <v>27439.999985360002</v>
      </c>
      <c r="D19" s="92">
        <v>28500</v>
      </c>
      <c r="E19" s="37" t="str">
        <f>IF(Estimate!H232="-","",Estimate!H232)</f>
        <v/>
      </c>
      <c r="F19" s="37" t="str">
        <f>IF(Estimate!I232="-","",Estimate!I232)</f>
        <v/>
      </c>
      <c r="G19" s="37" t="str">
        <f>IF(Estimate!J232="-","",Estimate!J232)</f>
        <v/>
      </c>
      <c r="H19" s="37" t="str">
        <f>IF(Estimate!K232="-","",Estimate!K232)</f>
        <v/>
      </c>
      <c r="I19" s="36" t="str">
        <f t="shared" si="0"/>
        <v/>
      </c>
      <c r="J19" s="93" t="str">
        <f t="shared" si="1"/>
        <v/>
      </c>
      <c r="K19" s="288" t="str">
        <f t="shared" si="2"/>
        <v/>
      </c>
    </row>
    <row r="20" spans="1:11" ht="21.75" customHeight="1" x14ac:dyDescent="0.25">
      <c r="A20" s="90" t="s">
        <v>221</v>
      </c>
      <c r="B20" s="91" t="s">
        <v>644</v>
      </c>
      <c r="C20" s="36">
        <f>Estimate!F238</f>
        <v>14100.000000079999</v>
      </c>
      <c r="D20" s="92">
        <f>ROUND(C20,0)</f>
        <v>14100</v>
      </c>
      <c r="E20" s="37" t="str">
        <f>IF(Estimate!H238="-","",Estimate!H238)</f>
        <v/>
      </c>
      <c r="F20" s="37" t="str">
        <f>IF(Estimate!I238="-","",Estimate!I238)</f>
        <v/>
      </c>
      <c r="G20" s="37" t="str">
        <f>IF(Estimate!J238="-","",Estimate!J238)</f>
        <v/>
      </c>
      <c r="H20" s="37" t="str">
        <f>IF(Estimate!K238="-","",Estimate!K238)</f>
        <v/>
      </c>
      <c r="I20" s="36" t="str">
        <f t="shared" si="0"/>
        <v/>
      </c>
      <c r="J20" s="93" t="str">
        <f t="shared" si="1"/>
        <v/>
      </c>
      <c r="K20" s="288" t="str">
        <f t="shared" si="2"/>
        <v/>
      </c>
    </row>
    <row r="21" spans="1:11" ht="21.75" customHeight="1" x14ac:dyDescent="0.25">
      <c r="A21" s="90" t="s">
        <v>225</v>
      </c>
      <c r="B21" s="91" t="s">
        <v>645</v>
      </c>
      <c r="C21" s="36">
        <f>Estimate!F245</f>
        <v>41300</v>
      </c>
      <c r="D21" s="92">
        <f>ROUND(C21,0)</f>
        <v>41300</v>
      </c>
      <c r="E21" s="37">
        <f>IF(Estimate!H245="-","",Estimate!H245)</f>
        <v>41286.61</v>
      </c>
      <c r="F21" s="37" t="str">
        <f>IF(Estimate!I245="-","",Estimate!I245)</f>
        <v/>
      </c>
      <c r="G21" s="37" t="str">
        <f>IF(Estimate!J245="-","",Estimate!J245)</f>
        <v/>
      </c>
      <c r="H21" s="37" t="str">
        <f>IF(Estimate!K245="-","",Estimate!K245)</f>
        <v/>
      </c>
      <c r="I21" s="36">
        <f t="shared" si="0"/>
        <v>41286.61</v>
      </c>
      <c r="J21" s="93" t="str">
        <f t="shared" si="1"/>
        <v>Sub #1</v>
      </c>
      <c r="K21" s="288">
        <f t="shared" si="2"/>
        <v>-13.389999999999418</v>
      </c>
    </row>
    <row r="22" spans="1:11" ht="21.75" customHeight="1" x14ac:dyDescent="0.25">
      <c r="A22" s="90" t="s">
        <v>646</v>
      </c>
      <c r="B22" s="91" t="s">
        <v>647</v>
      </c>
      <c r="C22" s="36">
        <f>Estimate!F255</f>
        <v>23787.65</v>
      </c>
      <c r="D22" s="92">
        <f>ROUND(C22,0)</f>
        <v>23788</v>
      </c>
      <c r="E22" s="37" t="str">
        <f>IF(Estimate!H255="-","",Estimate!H255)</f>
        <v/>
      </c>
      <c r="F22" s="37" t="str">
        <f>IF(Estimate!I255="-","",Estimate!I255)</f>
        <v/>
      </c>
      <c r="G22" s="37" t="str">
        <f>IF(Estimate!J255="-","",Estimate!J255)</f>
        <v/>
      </c>
      <c r="H22" s="37" t="str">
        <f>IF(Estimate!K255="-","",Estimate!K255)</f>
        <v/>
      </c>
      <c r="I22" s="36" t="str">
        <f t="shared" si="0"/>
        <v/>
      </c>
      <c r="J22" s="93" t="str">
        <f t="shared" si="1"/>
        <v/>
      </c>
      <c r="K22" s="288" t="str">
        <f t="shared" si="2"/>
        <v/>
      </c>
    </row>
    <row r="23" spans="1:11" ht="21.75" customHeight="1" x14ac:dyDescent="0.25">
      <c r="A23" s="90" t="s">
        <v>237</v>
      </c>
      <c r="B23" s="91" t="s">
        <v>648</v>
      </c>
      <c r="C23" s="36">
        <f>Estimate!F280</f>
        <v>32547.622080000005</v>
      </c>
      <c r="D23" s="92">
        <f>ROUND(C23,0)</f>
        <v>32548</v>
      </c>
      <c r="E23" s="37" t="str">
        <f>IF(Estimate!H280="-","",Estimate!H280)</f>
        <v/>
      </c>
      <c r="F23" s="37" t="str">
        <f>IF(Estimate!I280="-","",Estimate!I280)</f>
        <v/>
      </c>
      <c r="G23" s="37" t="str">
        <f>IF(Estimate!J280="-","",Estimate!J280)</f>
        <v/>
      </c>
      <c r="H23" s="37" t="str">
        <f>IF(Estimate!K280="-","",Estimate!K280)</f>
        <v/>
      </c>
      <c r="I23" s="36" t="str">
        <f t="shared" si="0"/>
        <v/>
      </c>
      <c r="J23" s="93" t="str">
        <f t="shared" si="1"/>
        <v/>
      </c>
      <c r="K23" s="288" t="str">
        <f t="shared" si="2"/>
        <v/>
      </c>
    </row>
    <row r="24" spans="1:11" ht="21.75" customHeight="1" x14ac:dyDescent="0.25">
      <c r="A24" s="90" t="s">
        <v>260</v>
      </c>
      <c r="B24" s="91" t="s">
        <v>649</v>
      </c>
      <c r="C24" s="36">
        <f>Estimate!F288</f>
        <v>44713.599999999999</v>
      </c>
      <c r="D24" s="92">
        <v>54000</v>
      </c>
      <c r="E24" s="37" t="str">
        <f>IF(Estimate!H288="-","",Estimate!H288)</f>
        <v/>
      </c>
      <c r="F24" s="37" t="str">
        <f>IF(Estimate!I288="-","",Estimate!I288)</f>
        <v/>
      </c>
      <c r="G24" s="37" t="str">
        <f>IF(Estimate!J288="-","",Estimate!J288)</f>
        <v/>
      </c>
      <c r="H24" s="37" t="str">
        <f>IF(Estimate!K288="-","",Estimate!K288)</f>
        <v/>
      </c>
      <c r="I24" s="36" t="str">
        <f t="shared" si="0"/>
        <v/>
      </c>
      <c r="J24" s="93" t="str">
        <f t="shared" si="1"/>
        <v/>
      </c>
      <c r="K24" s="288" t="str">
        <f t="shared" si="2"/>
        <v/>
      </c>
    </row>
    <row r="25" spans="1:11" ht="21.75" customHeight="1" x14ac:dyDescent="0.25">
      <c r="A25" s="90" t="s">
        <v>266</v>
      </c>
      <c r="B25" s="91" t="s">
        <v>650</v>
      </c>
      <c r="C25" s="36">
        <f>Estimate!F294</f>
        <v>26655.620000000003</v>
      </c>
      <c r="D25" s="92">
        <f>ROUND(C25,0)</f>
        <v>26656</v>
      </c>
      <c r="E25" s="37" t="str">
        <f>IF(Estimate!H294="-","",Estimate!H294)</f>
        <v/>
      </c>
      <c r="F25" s="37" t="str">
        <f>IF(Estimate!I294="-","",Estimate!I294)</f>
        <v/>
      </c>
      <c r="G25" s="37" t="str">
        <f>IF(Estimate!J294="-","",Estimate!J294)</f>
        <v/>
      </c>
      <c r="H25" s="37" t="str">
        <f>IF(Estimate!K294="-","",Estimate!K294)</f>
        <v/>
      </c>
      <c r="I25" s="36" t="str">
        <f t="shared" si="0"/>
        <v/>
      </c>
      <c r="J25" s="93" t="str">
        <f t="shared" si="1"/>
        <v/>
      </c>
      <c r="K25" s="288" t="str">
        <f t="shared" si="2"/>
        <v/>
      </c>
    </row>
    <row r="26" spans="1:11" ht="21.75" customHeight="1" x14ac:dyDescent="0.25">
      <c r="A26" s="90" t="s">
        <v>270</v>
      </c>
      <c r="B26" s="91" t="s">
        <v>651</v>
      </c>
      <c r="C26" s="36">
        <f>Estimate!F312</f>
        <v>73284.086869999999</v>
      </c>
      <c r="D26" s="92">
        <f>ROUND(C26,0)</f>
        <v>73284</v>
      </c>
      <c r="E26" s="37" t="str">
        <f>IF(Estimate!H312="-","",Estimate!H312)</f>
        <v/>
      </c>
      <c r="F26" s="37" t="str">
        <f>IF(Estimate!I312="-","",Estimate!I312)</f>
        <v/>
      </c>
      <c r="G26" s="37" t="str">
        <f>IF(Estimate!J312="-","",Estimate!J312)</f>
        <v/>
      </c>
      <c r="H26" s="37" t="str">
        <f>IF(Estimate!K312="-","",Estimate!K312)</f>
        <v/>
      </c>
      <c r="I26" s="36" t="str">
        <f t="shared" si="0"/>
        <v/>
      </c>
      <c r="J26" s="93" t="str">
        <f t="shared" si="1"/>
        <v/>
      </c>
      <c r="K26" s="288" t="str">
        <f t="shared" si="2"/>
        <v/>
      </c>
    </row>
    <row r="27" spans="1:11" ht="21.75" customHeight="1" x14ac:dyDescent="0.25">
      <c r="A27" s="90" t="s">
        <v>286</v>
      </c>
      <c r="B27" s="91" t="s">
        <v>652</v>
      </c>
      <c r="C27" s="36">
        <f>Estimate!F320</f>
        <v>4854.9999995999997</v>
      </c>
      <c r="D27" s="92">
        <f>ROUND(C27,0)</f>
        <v>4855</v>
      </c>
      <c r="E27" s="37" t="str">
        <f>IF(Estimate!H320="-","",Estimate!H320)</f>
        <v/>
      </c>
      <c r="F27" s="37" t="str">
        <f>IF(Estimate!I320="-","",Estimate!I320)</f>
        <v/>
      </c>
      <c r="G27" s="37" t="str">
        <f>IF(Estimate!J320="-","",Estimate!J320)</f>
        <v/>
      </c>
      <c r="H27" s="37" t="str">
        <f>IF(Estimate!K320="-","",Estimate!K320)</f>
        <v/>
      </c>
      <c r="I27" s="36" t="str">
        <f t="shared" si="0"/>
        <v/>
      </c>
      <c r="J27" s="93" t="str">
        <f t="shared" si="1"/>
        <v/>
      </c>
      <c r="K27" s="288" t="str">
        <f t="shared" si="2"/>
        <v/>
      </c>
    </row>
    <row r="28" spans="1:11" ht="21.75" customHeight="1" x14ac:dyDescent="0.25">
      <c r="A28" s="90" t="s">
        <v>292</v>
      </c>
      <c r="B28" s="91" t="s">
        <v>653</v>
      </c>
      <c r="C28" s="36">
        <f>Estimate!F330</f>
        <v>83450.000000600005</v>
      </c>
      <c r="D28" s="92">
        <f>ROUND(C28,0)</f>
        <v>83450</v>
      </c>
      <c r="E28" s="37">
        <f>IF(Estimate!H330="-","",Estimate!H330)</f>
        <v>80871.240000000005</v>
      </c>
      <c r="F28" s="37" t="str">
        <f>IF(Estimate!I330="-","",Estimate!I330)</f>
        <v/>
      </c>
      <c r="G28" s="37" t="str">
        <f>IF(Estimate!J330="-","",Estimate!J330)</f>
        <v/>
      </c>
      <c r="H28" s="37" t="str">
        <f>IF(Estimate!K330="-","",Estimate!K330)</f>
        <v/>
      </c>
      <c r="I28" s="36">
        <f t="shared" si="0"/>
        <v>80871.240000000005</v>
      </c>
      <c r="J28" s="93" t="str">
        <f t="shared" si="1"/>
        <v>Sub #1</v>
      </c>
      <c r="K28" s="288">
        <f t="shared" si="2"/>
        <v>-2578.7600005999993</v>
      </c>
    </row>
    <row r="29" spans="1:11" ht="21.75" customHeight="1" x14ac:dyDescent="0.25">
      <c r="A29" s="90" t="s">
        <v>300</v>
      </c>
      <c r="B29" s="91" t="s">
        <v>654</v>
      </c>
      <c r="C29" s="36">
        <f>Estimate!F336</f>
        <v>41512</v>
      </c>
      <c r="D29" s="92">
        <f>ROUND(C29,0)</f>
        <v>41512</v>
      </c>
      <c r="E29" s="37" t="str">
        <f>IF(Estimate!H336="-","",Estimate!H336)</f>
        <v/>
      </c>
      <c r="F29" s="37" t="str">
        <f>IF(Estimate!I336="-","",Estimate!I336)</f>
        <v/>
      </c>
      <c r="G29" s="37" t="str">
        <f>IF(Estimate!J336="-","",Estimate!J336)</f>
        <v/>
      </c>
      <c r="H29" s="37" t="str">
        <f>IF(Estimate!K336="-","",Estimate!K336)</f>
        <v/>
      </c>
      <c r="I29" s="36" t="str">
        <f t="shared" si="0"/>
        <v/>
      </c>
      <c r="J29" s="93" t="str">
        <f t="shared" si="1"/>
        <v/>
      </c>
      <c r="K29" s="288" t="str">
        <f t="shared" si="2"/>
        <v/>
      </c>
    </row>
    <row r="30" spans="1:11" ht="36" customHeight="1" x14ac:dyDescent="0.25">
      <c r="A30" s="90" t="s">
        <v>304</v>
      </c>
      <c r="B30" s="281" t="s">
        <v>1646</v>
      </c>
      <c r="C30" s="36">
        <f>Estimate!F350</f>
        <v>1085479.8400000001</v>
      </c>
      <c r="D30" s="92">
        <f>ROUNDUP(1044419.84,0)</f>
        <v>1044420</v>
      </c>
      <c r="E30" s="37"/>
      <c r="F30" s="37" t="str">
        <f>IF(Estimate!I350="-","",Estimate!I350)</f>
        <v/>
      </c>
      <c r="G30" s="37" t="str">
        <f>IF(Estimate!J350="-","",Estimate!J350)</f>
        <v/>
      </c>
      <c r="H30" s="37" t="str">
        <f>IF(Estimate!K350="-","",Estimate!K350)</f>
        <v/>
      </c>
      <c r="I30" s="36" t="str">
        <f t="shared" si="0"/>
        <v/>
      </c>
      <c r="J30" s="93" t="str">
        <f t="shared" si="1"/>
        <v/>
      </c>
      <c r="K30" s="288" t="str">
        <f t="shared" si="2"/>
        <v/>
      </c>
    </row>
    <row r="31" spans="1:11" ht="22.5" customHeight="1" x14ac:dyDescent="0.25">
      <c r="A31" s="90"/>
      <c r="B31" s="281" t="s">
        <v>1647</v>
      </c>
      <c r="C31" s="36"/>
      <c r="D31" s="92">
        <f>ROUND(E31,0)</f>
        <v>19660</v>
      </c>
      <c r="E31" s="37">
        <v>19660</v>
      </c>
      <c r="F31" s="37"/>
      <c r="G31" s="37"/>
      <c r="H31" s="37"/>
      <c r="I31" s="36"/>
      <c r="J31" s="93"/>
      <c r="K31" s="288"/>
    </row>
    <row r="32" spans="1:11" ht="36" x14ac:dyDescent="0.25">
      <c r="A32" s="90" t="s">
        <v>656</v>
      </c>
      <c r="B32" s="91" t="s">
        <v>657</v>
      </c>
      <c r="C32" s="36">
        <f>Estimate!F371</f>
        <v>65300</v>
      </c>
      <c r="D32" s="92">
        <v>97030</v>
      </c>
      <c r="E32" s="37"/>
      <c r="F32" s="37" t="str">
        <f>IF(Estimate!I371="-","",Estimate!I371)</f>
        <v/>
      </c>
      <c r="G32" s="37" t="str">
        <f>IF(Estimate!J371="-","",Estimate!J371)</f>
        <v/>
      </c>
      <c r="H32" s="37" t="str">
        <f>IF(Estimate!K371="-","",Estimate!K371)</f>
        <v/>
      </c>
      <c r="I32" s="36" t="str">
        <f t="shared" si="0"/>
        <v/>
      </c>
      <c r="J32" s="93" t="str">
        <f t="shared" si="1"/>
        <v/>
      </c>
      <c r="K32" s="288" t="str">
        <f t="shared" si="2"/>
        <v/>
      </c>
    </row>
    <row r="33" spans="1:11" ht="21.75" customHeight="1" x14ac:dyDescent="0.25">
      <c r="A33" s="90" t="s">
        <v>658</v>
      </c>
      <c r="B33" s="281" t="s">
        <v>1642</v>
      </c>
      <c r="C33" s="36">
        <f>Estimate!F387</f>
        <v>196200</v>
      </c>
      <c r="D33" s="92">
        <v>160000</v>
      </c>
      <c r="E33" s="37" t="str">
        <f>IF(Estimate!H387="-","",Estimate!H387)</f>
        <v/>
      </c>
      <c r="F33" s="37" t="str">
        <f>IF(Estimate!I387="-","",Estimate!I387)</f>
        <v/>
      </c>
      <c r="G33" s="37" t="str">
        <f>IF(Estimate!J387="-","",Estimate!J387)</f>
        <v/>
      </c>
      <c r="H33" s="37" t="str">
        <f>IF(Estimate!K387="-","",Estimate!K387)</f>
        <v/>
      </c>
      <c r="I33" s="36" t="str">
        <f t="shared" si="0"/>
        <v/>
      </c>
      <c r="J33" s="93" t="str">
        <f t="shared" si="1"/>
        <v/>
      </c>
      <c r="K33" s="288" t="str">
        <f t="shared" si="2"/>
        <v/>
      </c>
    </row>
    <row r="34" spans="1:11" ht="48" x14ac:dyDescent="0.25">
      <c r="A34" s="90" t="s">
        <v>660</v>
      </c>
      <c r="B34" s="91" t="s">
        <v>661</v>
      </c>
      <c r="C34" s="36">
        <f>Estimate!F446</f>
        <v>230950.00000320002</v>
      </c>
      <c r="D34" s="92">
        <f>ROUND(C34,0)</f>
        <v>230950</v>
      </c>
      <c r="E34" s="37" t="str">
        <f>IF(Estimate!H446="-","",Estimate!H446)</f>
        <v/>
      </c>
      <c r="F34" s="37" t="str">
        <f>IF(Estimate!I446="-","",Estimate!I446)</f>
        <v/>
      </c>
      <c r="G34" s="37" t="str">
        <f>IF(Estimate!J446="-","",Estimate!J446)</f>
        <v/>
      </c>
      <c r="H34" s="37" t="str">
        <f>IF(Estimate!K446="-","",Estimate!K446)</f>
        <v/>
      </c>
      <c r="I34" s="36" t="str">
        <f t="shared" si="0"/>
        <v/>
      </c>
      <c r="J34" s="93" t="str">
        <f t="shared" si="1"/>
        <v/>
      </c>
      <c r="K34" s="288" t="str">
        <f t="shared" si="2"/>
        <v/>
      </c>
    </row>
    <row r="35" spans="1:11" ht="36" customHeight="1" x14ac:dyDescent="0.25">
      <c r="A35" s="90" t="s">
        <v>1631</v>
      </c>
      <c r="B35" s="91" t="s">
        <v>1632</v>
      </c>
      <c r="C35" s="36">
        <f>Estimate!F487</f>
        <v>175530.87531477481</v>
      </c>
      <c r="D35" s="92">
        <v>279000</v>
      </c>
      <c r="E35" s="37">
        <f>IF(Estimate!H487="-","",Estimate!H487)</f>
        <v>233765.39031481481</v>
      </c>
      <c r="F35" s="37" t="str">
        <f>IF(Estimate!I487="-","",Estimate!I487)</f>
        <v/>
      </c>
      <c r="G35" s="37" t="str">
        <f>IF(Estimate!J487="-","",Estimate!J487)</f>
        <v/>
      </c>
      <c r="H35" s="37" t="str">
        <f>IF(Estimate!K487="-","",Estimate!K487)</f>
        <v/>
      </c>
      <c r="I35" s="36">
        <f t="shared" ref="I35" si="3">IF(COUNT(E35:H35)=0,"",MIN(E35:H35))</f>
        <v>233765.39031481481</v>
      </c>
      <c r="J35" s="93" t="str">
        <f t="shared" ref="J35" si="4">IF(I35="","",INDEX($E$5:$H$5,MATCH(I35,E35:H35,0)))</f>
        <v>Sub #1</v>
      </c>
      <c r="K35" s="288">
        <f t="shared" ref="K35" si="5">IF(OR(I35="",N(C35)=0),"",I35-C35)</f>
        <v>58234.515000040003</v>
      </c>
    </row>
    <row r="36" spans="1:11" ht="36" customHeight="1" x14ac:dyDescent="0.25">
      <c r="A36" s="90"/>
      <c r="B36" s="281" t="s">
        <v>1654</v>
      </c>
      <c r="C36" s="36">
        <f>Estimate!F497</f>
        <v>37693.480000000025</v>
      </c>
      <c r="D36" s="92">
        <f>ROUND(C36,0)</f>
        <v>37693</v>
      </c>
      <c r="E36" s="37"/>
      <c r="F36" s="37"/>
      <c r="G36" s="37"/>
      <c r="H36" s="37"/>
      <c r="I36" s="36"/>
      <c r="J36" s="93"/>
      <c r="K36" s="288"/>
    </row>
    <row r="37" spans="1:11" ht="21.75" customHeight="1" x14ac:dyDescent="0.25">
      <c r="A37" s="90" t="s">
        <v>447</v>
      </c>
      <c r="B37" s="91" t="s">
        <v>664</v>
      </c>
      <c r="C37" s="36">
        <f>Estimate!F503</f>
        <v>28000</v>
      </c>
      <c r="D37" s="92">
        <f>E37</f>
        <v>16000</v>
      </c>
      <c r="E37" s="37">
        <f>IF(Estimate!H503="-","",Estimate!H503)</f>
        <v>16000</v>
      </c>
      <c r="F37" s="37" t="str">
        <f>IF(Estimate!I503="-","",Estimate!I503)</f>
        <v/>
      </c>
      <c r="G37" s="37" t="str">
        <f>IF(Estimate!J503="-","",Estimate!J503)</f>
        <v/>
      </c>
      <c r="H37" s="37" t="str">
        <f>IF(Estimate!K503="-","",Estimate!K503)</f>
        <v/>
      </c>
      <c r="I37" s="36">
        <f t="shared" si="0"/>
        <v>16000</v>
      </c>
      <c r="J37" s="93" t="str">
        <f t="shared" si="1"/>
        <v>Sub #1</v>
      </c>
      <c r="K37" s="288">
        <f t="shared" si="2"/>
        <v>-12000</v>
      </c>
    </row>
    <row r="38" spans="1:11" ht="21.75" customHeight="1" x14ac:dyDescent="0.25">
      <c r="A38" s="90" t="s">
        <v>665</v>
      </c>
      <c r="B38" s="91" t="s">
        <v>666</v>
      </c>
      <c r="C38" s="36">
        <f>Estimate!F513</f>
        <v>188512.09000000003</v>
      </c>
      <c r="D38" s="92">
        <f>ROUND(C38,0)</f>
        <v>188512</v>
      </c>
      <c r="E38" s="37" t="str">
        <f>IF(Estimate!H513="-","",Estimate!H513)</f>
        <v/>
      </c>
      <c r="F38" s="37" t="str">
        <f>IF(Estimate!I513="-","",Estimate!I513)</f>
        <v/>
      </c>
      <c r="G38" s="37" t="str">
        <f>IF(Estimate!J513="-","",Estimate!J513)</f>
        <v/>
      </c>
      <c r="H38" s="37" t="str">
        <f>IF(Estimate!K513="-","",Estimate!K513)</f>
        <v/>
      </c>
      <c r="I38" s="36" t="str">
        <f t="shared" si="0"/>
        <v/>
      </c>
      <c r="J38" s="93" t="str">
        <f t="shared" si="1"/>
        <v/>
      </c>
      <c r="K38" s="288" t="str">
        <f t="shared" si="2"/>
        <v/>
      </c>
    </row>
    <row r="39" spans="1:11" ht="19.5" customHeight="1" x14ac:dyDescent="0.25">
      <c r="A39" s="240" t="s">
        <v>463</v>
      </c>
      <c r="B39" s="240"/>
      <c r="C39" s="94">
        <f>SUM(C6:C38)</f>
        <v>4044924.2997720945</v>
      </c>
      <c r="D39" s="94">
        <f>IF(SUM(D6:D38)=0,"",SUM(D6:D38))</f>
        <v>4217358</v>
      </c>
      <c r="E39" s="94">
        <f>IF(SUM(E6:E38)=0,"",SUM(E6:E38))</f>
        <v>794083.24031481473</v>
      </c>
      <c r="F39" s="94" t="str">
        <f>IF(SUM(F6:F38)=0,"",SUM(F6:F38))</f>
        <v/>
      </c>
      <c r="G39" s="94" t="str">
        <f>IF(SUM(G6:G38)=0,"",SUM(G6:G38))</f>
        <v/>
      </c>
      <c r="H39" s="94" t="str">
        <f>IF(SUM(H6:H38)=0,"",SUM(H6:H38))</f>
        <v/>
      </c>
      <c r="I39" s="95"/>
      <c r="J39" s="95"/>
      <c r="K39" s="289"/>
    </row>
    <row r="40" spans="1:11" ht="18" customHeight="1" x14ac:dyDescent="0.25">
      <c r="A40" s="1" t="str">
        <f>Estimate!A516</f>
        <v>General Conditions</v>
      </c>
      <c r="B40" s="71">
        <v>7.0000000000000007E-2</v>
      </c>
      <c r="C40" s="29">
        <f>ROUND((SUM(C39))*$B40,2)</f>
        <v>283144.7</v>
      </c>
      <c r="D40" s="96">
        <f>ROUND((SUM(D39))*$B40,0)</f>
        <v>295215</v>
      </c>
      <c r="E40" s="29">
        <f>IF(SUM(E39)=0,"",ROUND((SUM(E39))*$B40,2))</f>
        <v>55585.83</v>
      </c>
      <c r="F40" s="29" t="str">
        <f>IF(SUM(F39)=0,"",ROUND((SUM(F39))*$B40,2))</f>
        <v/>
      </c>
      <c r="G40" s="29" t="str">
        <f>IF(SUM(G39)=0,"",ROUND((SUM(G39))*$B40,2))</f>
        <v/>
      </c>
      <c r="H40" s="29" t="str">
        <f>IF(SUM(H39)=0,"",ROUND((SUM(H39))*$B40,2))</f>
        <v/>
      </c>
      <c r="I40" s="97"/>
      <c r="J40" s="97"/>
      <c r="K40" s="290"/>
    </row>
    <row r="41" spans="1:11" ht="18" customHeight="1" x14ac:dyDescent="0.25">
      <c r="A41" s="1" t="str">
        <f>Estimate!A517</f>
        <v>Fee</v>
      </c>
      <c r="B41" s="71">
        <f>Estimate!$E$517</f>
        <v>0.06</v>
      </c>
      <c r="C41" s="29">
        <f>ROUND((SUM(C39)+SUM(C40:C40))*$B41,2)</f>
        <v>259684.14</v>
      </c>
      <c r="D41" s="96">
        <f>ROUND((SUM(D39)+SUM(D40:D40))*$B41,0)</f>
        <v>270754</v>
      </c>
      <c r="E41" s="29">
        <f>IF(SUM(E39)=0,"",ROUND((SUM(E39)+SUM(E40:E40))*$B41,2))</f>
        <v>50980.14</v>
      </c>
      <c r="F41" s="29" t="str">
        <f>IF(SUM(F39)=0,"",ROUND((SUM(F39)+SUM(F40:F40))*$B41,2))</f>
        <v/>
      </c>
      <c r="G41" s="29" t="str">
        <f>IF(SUM(G39)=0,"",ROUND((SUM(G39)+SUM(G40:G40))*$B41,2))</f>
        <v/>
      </c>
      <c r="H41" s="29" t="str">
        <f>IF(SUM(H39)=0,"",ROUND((SUM(H39)+SUM(H40:H40))*$B41,2))</f>
        <v/>
      </c>
      <c r="I41" s="97"/>
      <c r="J41" s="97"/>
      <c r="K41" s="290"/>
    </row>
    <row r="42" spans="1:11" ht="18" customHeight="1" thickBot="1" x14ac:dyDescent="0.3">
      <c r="A42" s="1" t="str">
        <f>Estimate!A518</f>
        <v>Insurance</v>
      </c>
      <c r="B42" s="71">
        <f>Estimate!$E$518</f>
        <v>2.75E-2</v>
      </c>
      <c r="C42" s="29">
        <f>ROUND((SUM(C39)+SUM(C40:C41))*$B42,2)</f>
        <v>126163.21</v>
      </c>
      <c r="D42" s="96">
        <f>ROUND((SUM(D39)+SUM(D40:D41))*$B42,0)</f>
        <v>131541</v>
      </c>
      <c r="E42" s="29">
        <f>IF(SUM(E39)=0,"",ROUND((SUM(E39)+SUM(E40:E41))*$B42,2))</f>
        <v>24767.85</v>
      </c>
      <c r="F42" s="29" t="str">
        <f>IF(SUM(F39)=0,"",ROUND((SUM(F39)+SUM(F40:F41))*$B42,2))</f>
        <v/>
      </c>
      <c r="G42" s="29" t="str">
        <f>IF(SUM(G39)=0,"",ROUND((SUM(G39)+SUM(G40:G41))*$B42,2))</f>
        <v/>
      </c>
      <c r="H42" s="29" t="str">
        <f>IF(SUM(H39)=0,"",ROUND((SUM(H39)+SUM(H40:H41))*$B42,2))</f>
        <v/>
      </c>
      <c r="I42" s="97"/>
      <c r="J42" s="97"/>
      <c r="K42" s="290"/>
    </row>
    <row r="43" spans="1:11" ht="24" customHeight="1" thickBot="1" x14ac:dyDescent="0.3">
      <c r="A43" s="226" t="s">
        <v>467</v>
      </c>
      <c r="B43" s="226"/>
      <c r="C43" s="296">
        <f>ROUND(SUM(C39,C40:C42),2)</f>
        <v>4713916.3499999996</v>
      </c>
      <c r="D43" s="297">
        <f>ROUND(SUM(D39,D40:D42),0)</f>
        <v>4914868</v>
      </c>
      <c r="E43" s="296">
        <f>IF(SUM(E39,E40:E42)=0,"",ROUND(SUM(E39,E40:E42),2))</f>
        <v>925417.06</v>
      </c>
      <c r="F43" s="72" t="str">
        <f>IF(SUM(F39,F40:F42)=0,"",ROUND(SUM(F39,F40:F42),2))</f>
        <v/>
      </c>
      <c r="G43" s="72" t="str">
        <f>IF(SUM(G39,G40:G42)=0,"",ROUND(SUM(G39,G40:G42),2))</f>
        <v/>
      </c>
      <c r="H43" s="72" t="str">
        <f>IF(SUM(H39,H40:H42)=0,"",ROUND(SUM(H39,H40:H42),2))</f>
        <v/>
      </c>
      <c r="I43" s="39"/>
      <c r="J43" s="39"/>
      <c r="K43" s="291"/>
    </row>
    <row r="46" spans="1:11" ht="18.75" customHeight="1" x14ac:dyDescent="0.3">
      <c r="A46" s="99" t="s">
        <v>668</v>
      </c>
    </row>
    <row r="47" spans="1:11" ht="27.75" customHeight="1" x14ac:dyDescent="0.25">
      <c r="A47" s="235" t="s">
        <v>669</v>
      </c>
      <c r="B47" s="235"/>
      <c r="C47" s="235"/>
      <c r="D47" s="235"/>
      <c r="E47" s="235"/>
      <c r="F47" s="235"/>
      <c r="G47" s="235"/>
      <c r="H47" s="235"/>
      <c r="I47" s="235"/>
      <c r="J47" s="235"/>
      <c r="K47" s="235"/>
    </row>
    <row r="48" spans="1:11" ht="30" customHeight="1" x14ac:dyDescent="0.25">
      <c r="A48" s="85" t="s">
        <v>6</v>
      </c>
      <c r="B48" s="86" t="s">
        <v>670</v>
      </c>
      <c r="C48" s="87" t="s">
        <v>671</v>
      </c>
      <c r="D48" s="88" t="s">
        <v>618</v>
      </c>
      <c r="E48" s="87" t="s">
        <v>464</v>
      </c>
      <c r="F48" s="87" t="s">
        <v>465</v>
      </c>
      <c r="G48" s="87" t="s">
        <v>466</v>
      </c>
      <c r="H48" s="87" t="s">
        <v>672</v>
      </c>
      <c r="I48" s="87" t="s">
        <v>673</v>
      </c>
      <c r="J48" s="87" t="s">
        <v>674</v>
      </c>
      <c r="K48" s="89" t="s">
        <v>675</v>
      </c>
    </row>
    <row r="49" spans="1:11" ht="36" customHeight="1" x14ac:dyDescent="0.25">
      <c r="A49" s="100" t="s">
        <v>676</v>
      </c>
      <c r="B49" s="101" t="s">
        <v>677</v>
      </c>
      <c r="C49" s="102">
        <f>SUM(Estimate!F539)</f>
        <v>63196.92</v>
      </c>
      <c r="D49" s="103">
        <f>ROUND(Estimate!F543,0)</f>
        <v>73993</v>
      </c>
      <c r="E49" s="102"/>
      <c r="F49" s="102"/>
      <c r="G49" s="102"/>
      <c r="H49" s="104">
        <f t="shared" ref="H49:H63" si="6">ROUND(IF(ISNUMBER(D49),D49,C49)+E49+F49+G49,2)</f>
        <v>73993</v>
      </c>
      <c r="I49" s="102"/>
      <c r="J49" s="102" t="str">
        <f t="shared" ref="J49:J63" si="7">IF(I49="","",I49-H49)</f>
        <v/>
      </c>
      <c r="K49" s="292" t="s">
        <v>678</v>
      </c>
    </row>
    <row r="50" spans="1:11" ht="49.5" customHeight="1" x14ac:dyDescent="0.25">
      <c r="A50" s="105" t="s">
        <v>432</v>
      </c>
      <c r="B50" s="345" t="s">
        <v>1845</v>
      </c>
      <c r="C50" s="27">
        <f>SUM(Estimate!F548)</f>
        <v>0</v>
      </c>
      <c r="D50" s="107"/>
      <c r="E50" s="27"/>
      <c r="F50" s="27"/>
      <c r="G50" s="27"/>
      <c r="H50" s="28">
        <f t="shared" si="6"/>
        <v>0</v>
      </c>
      <c r="I50" s="27"/>
      <c r="J50" s="27" t="str">
        <f t="shared" si="7"/>
        <v/>
      </c>
      <c r="K50" s="293" t="s">
        <v>678</v>
      </c>
    </row>
    <row r="51" spans="1:11" ht="36" customHeight="1" x14ac:dyDescent="0.25">
      <c r="A51" s="108" t="s">
        <v>479</v>
      </c>
      <c r="B51" s="109" t="s">
        <v>679</v>
      </c>
      <c r="C51" s="110">
        <f>SUM(Estimate!F564)</f>
        <v>87624.459999999977</v>
      </c>
      <c r="D51" s="107">
        <f>ROUND(Estimate!F568,0)</f>
        <v>102594</v>
      </c>
      <c r="E51" s="110"/>
      <c r="F51" s="110"/>
      <c r="G51" s="110"/>
      <c r="H51" s="111">
        <f t="shared" si="6"/>
        <v>102594</v>
      </c>
      <c r="I51" s="110"/>
      <c r="J51" s="110" t="str">
        <f t="shared" si="7"/>
        <v/>
      </c>
      <c r="K51" s="294" t="s">
        <v>678</v>
      </c>
    </row>
    <row r="52" spans="1:11" ht="49.5" customHeight="1" x14ac:dyDescent="0.25">
      <c r="A52" s="105" t="s">
        <v>72</v>
      </c>
      <c r="B52" s="106" t="s">
        <v>680</v>
      </c>
      <c r="C52" s="27">
        <f>SUM(Estimate!F574)</f>
        <v>-62640</v>
      </c>
      <c r="D52" s="107">
        <f>ROUND(Estimate!F578,0)</f>
        <v>-73341</v>
      </c>
      <c r="E52" s="27"/>
      <c r="F52" s="27"/>
      <c r="G52" s="27"/>
      <c r="H52" s="28">
        <f t="shared" si="6"/>
        <v>-73341</v>
      </c>
      <c r="I52" s="27"/>
      <c r="J52" s="27" t="str">
        <f t="shared" si="7"/>
        <v/>
      </c>
      <c r="K52" s="293" t="s">
        <v>678</v>
      </c>
    </row>
    <row r="53" spans="1:11" ht="49.5" customHeight="1" x14ac:dyDescent="0.25">
      <c r="A53" s="108" t="s">
        <v>681</v>
      </c>
      <c r="B53" s="109" t="s">
        <v>682</v>
      </c>
      <c r="C53" s="110">
        <f>SUM(Estimate!F589)</f>
        <v>90389.82</v>
      </c>
      <c r="D53" s="107">
        <f>ROUND(Estimate!F593,0)</f>
        <v>105832</v>
      </c>
      <c r="E53" s="110"/>
      <c r="F53" s="110"/>
      <c r="G53" s="110"/>
      <c r="H53" s="111">
        <f t="shared" si="6"/>
        <v>105832</v>
      </c>
      <c r="I53" s="110"/>
      <c r="J53" s="110" t="str">
        <f t="shared" si="7"/>
        <v/>
      </c>
      <c r="K53" s="294" t="s">
        <v>678</v>
      </c>
    </row>
    <row r="54" spans="1:11" ht="36" customHeight="1" x14ac:dyDescent="0.25">
      <c r="A54" s="105" t="s">
        <v>495</v>
      </c>
      <c r="B54" s="106" t="s">
        <v>683</v>
      </c>
      <c r="C54" s="27">
        <f>SUM(Estimate!F600)</f>
        <v>76730.55</v>
      </c>
      <c r="D54" s="107">
        <f>ROUND(Estimate!F604,0)</f>
        <v>89839</v>
      </c>
      <c r="E54" s="27"/>
      <c r="F54" s="27"/>
      <c r="G54" s="27"/>
      <c r="H54" s="28">
        <f t="shared" si="6"/>
        <v>89839</v>
      </c>
      <c r="I54" s="27"/>
      <c r="J54" s="27" t="str">
        <f t="shared" si="7"/>
        <v/>
      </c>
      <c r="K54" s="293" t="s">
        <v>678</v>
      </c>
    </row>
    <row r="55" spans="1:11" ht="36" customHeight="1" x14ac:dyDescent="0.25">
      <c r="A55" s="108" t="s">
        <v>498</v>
      </c>
      <c r="B55" s="109" t="s">
        <v>684</v>
      </c>
      <c r="C55" s="110">
        <f>SUM(Estimate!F615)</f>
        <v>93000</v>
      </c>
      <c r="D55" s="107">
        <f>ROUND(Estimate!F619,0)</f>
        <v>108888</v>
      </c>
      <c r="E55" s="110"/>
      <c r="F55" s="110"/>
      <c r="G55" s="110"/>
      <c r="H55" s="111">
        <f t="shared" si="6"/>
        <v>108888</v>
      </c>
      <c r="I55" s="110"/>
      <c r="J55" s="110" t="str">
        <f t="shared" si="7"/>
        <v/>
      </c>
      <c r="K55" s="294" t="s">
        <v>678</v>
      </c>
    </row>
    <row r="56" spans="1:11" ht="36" customHeight="1" x14ac:dyDescent="0.25">
      <c r="A56" s="105" t="s">
        <v>500</v>
      </c>
      <c r="B56" s="106" t="s">
        <v>685</v>
      </c>
      <c r="C56" s="27">
        <f>SUM(Estimate!F627)</f>
        <v>17000</v>
      </c>
      <c r="D56" s="107">
        <f>ROUND(Estimate!F631,0)</f>
        <v>19904</v>
      </c>
      <c r="E56" s="27"/>
      <c r="F56" s="27"/>
      <c r="G56" s="27"/>
      <c r="H56" s="28">
        <f t="shared" si="6"/>
        <v>19904</v>
      </c>
      <c r="I56" s="27"/>
      <c r="J56" s="27" t="str">
        <f t="shared" si="7"/>
        <v/>
      </c>
      <c r="K56" s="293" t="s">
        <v>678</v>
      </c>
    </row>
    <row r="57" spans="1:11" ht="36" customHeight="1" x14ac:dyDescent="0.25">
      <c r="A57" s="108" t="s">
        <v>502</v>
      </c>
      <c r="B57" s="109" t="s">
        <v>686</v>
      </c>
      <c r="C57" s="110">
        <f>SUM(Estimate!F644)</f>
        <v>58700</v>
      </c>
      <c r="D57" s="107">
        <f>ROUND(Estimate!F648,0)</f>
        <v>68728</v>
      </c>
      <c r="E57" s="110"/>
      <c r="F57" s="110"/>
      <c r="G57" s="110"/>
      <c r="H57" s="111">
        <f t="shared" si="6"/>
        <v>68728</v>
      </c>
      <c r="I57" s="110"/>
      <c r="J57" s="110" t="str">
        <f t="shared" si="7"/>
        <v/>
      </c>
      <c r="K57" s="294" t="s">
        <v>678</v>
      </c>
    </row>
    <row r="58" spans="1:11" ht="36" customHeight="1" x14ac:dyDescent="0.25">
      <c r="A58" s="105" t="s">
        <v>340</v>
      </c>
      <c r="B58" s="106" t="s">
        <v>687</v>
      </c>
      <c r="C58" s="27">
        <f>SUM(Estimate!F654)</f>
        <v>10000</v>
      </c>
      <c r="D58" s="107">
        <f>ROUND(Estimate!F658,0)</f>
        <v>11708</v>
      </c>
      <c r="E58" s="27"/>
      <c r="F58" s="27"/>
      <c r="G58" s="27"/>
      <c r="H58" s="28">
        <f t="shared" si="6"/>
        <v>11708</v>
      </c>
      <c r="I58" s="27"/>
      <c r="J58" s="27" t="str">
        <f t="shared" si="7"/>
        <v/>
      </c>
      <c r="K58" s="293" t="s">
        <v>678</v>
      </c>
    </row>
    <row r="59" spans="1:11" ht="36" customHeight="1" x14ac:dyDescent="0.25">
      <c r="A59" s="108" t="s">
        <v>348</v>
      </c>
      <c r="B59" s="109" t="s">
        <v>688</v>
      </c>
      <c r="C59" s="110">
        <f>SUM(Estimate!F663)</f>
        <v>12000</v>
      </c>
      <c r="D59" s="107">
        <f>ROUND(Estimate!F667,0)</f>
        <v>14050</v>
      </c>
      <c r="E59" s="110"/>
      <c r="F59" s="110"/>
      <c r="G59" s="110"/>
      <c r="H59" s="111">
        <f t="shared" si="6"/>
        <v>14050</v>
      </c>
      <c r="I59" s="110"/>
      <c r="J59" s="110" t="str">
        <f t="shared" si="7"/>
        <v/>
      </c>
      <c r="K59" s="294" t="s">
        <v>678</v>
      </c>
    </row>
    <row r="60" spans="1:11" ht="49.5" customHeight="1" x14ac:dyDescent="0.25">
      <c r="A60" s="105" t="s">
        <v>348</v>
      </c>
      <c r="B60" s="106" t="s">
        <v>689</v>
      </c>
      <c r="C60" s="27">
        <f>SUM(Estimate!F674)</f>
        <v>76000</v>
      </c>
      <c r="D60" s="107">
        <f>ROUND(Estimate!F678,0)</f>
        <v>88984</v>
      </c>
      <c r="E60" s="27"/>
      <c r="F60" s="27"/>
      <c r="G60" s="27"/>
      <c r="H60" s="28">
        <f t="shared" si="6"/>
        <v>88984</v>
      </c>
      <c r="I60" s="27"/>
      <c r="J60" s="27" t="str">
        <f t="shared" si="7"/>
        <v/>
      </c>
      <c r="K60" s="293" t="s">
        <v>678</v>
      </c>
    </row>
    <row r="61" spans="1:11" ht="36" customHeight="1" x14ac:dyDescent="0.25">
      <c r="A61" s="108" t="s">
        <v>690</v>
      </c>
      <c r="B61" s="109" t="s">
        <v>691</v>
      </c>
      <c r="C61" s="110">
        <f>SUM(Estimate!F686)</f>
        <v>81704</v>
      </c>
      <c r="D61" s="107">
        <f>ROUND(Estimate!F690,0)</f>
        <v>95662</v>
      </c>
      <c r="E61" s="110"/>
      <c r="F61" s="110"/>
      <c r="G61" s="110"/>
      <c r="H61" s="111">
        <f t="shared" si="6"/>
        <v>95662</v>
      </c>
      <c r="I61" s="110"/>
      <c r="J61" s="110" t="str">
        <f t="shared" si="7"/>
        <v/>
      </c>
      <c r="K61" s="294" t="s">
        <v>678</v>
      </c>
    </row>
    <row r="62" spans="1:11" ht="36" customHeight="1" x14ac:dyDescent="0.25">
      <c r="A62" s="105" t="s">
        <v>229</v>
      </c>
      <c r="B62" s="106" t="s">
        <v>692</v>
      </c>
      <c r="C62" s="27">
        <f>SUM(Estimate!F696)</f>
        <v>10000</v>
      </c>
      <c r="D62" s="107">
        <f>ROUND(Estimate!F700,0)</f>
        <v>11708</v>
      </c>
      <c r="E62" s="27"/>
      <c r="F62" s="27"/>
      <c r="G62" s="27"/>
      <c r="H62" s="28">
        <f t="shared" si="6"/>
        <v>11708</v>
      </c>
      <c r="I62" s="27"/>
      <c r="J62" s="27" t="str">
        <f t="shared" si="7"/>
        <v/>
      </c>
      <c r="K62" s="293" t="s">
        <v>678</v>
      </c>
    </row>
    <row r="63" spans="1:11" ht="49.5" customHeight="1" x14ac:dyDescent="0.25">
      <c r="A63" s="304" t="s">
        <v>225</v>
      </c>
      <c r="B63" s="305" t="s">
        <v>693</v>
      </c>
      <c r="C63" s="306">
        <f>SUM(Estimate!F708)</f>
        <v>24405</v>
      </c>
      <c r="D63" s="307">
        <f>ROUND(Estimate!F712,0)</f>
        <v>28574</v>
      </c>
      <c r="E63" s="306"/>
      <c r="F63" s="306"/>
      <c r="G63" s="306"/>
      <c r="H63" s="308">
        <f t="shared" si="6"/>
        <v>28574</v>
      </c>
      <c r="I63" s="306"/>
      <c r="J63" s="306" t="str">
        <f t="shared" si="7"/>
        <v/>
      </c>
      <c r="K63" s="309" t="s">
        <v>678</v>
      </c>
    </row>
    <row r="64" spans="1:11" ht="49.5" customHeight="1" thickBot="1" x14ac:dyDescent="0.3">
      <c r="A64" s="349" t="s">
        <v>1650</v>
      </c>
      <c r="B64" s="350" t="s">
        <v>1652</v>
      </c>
      <c r="C64" s="351">
        <f>SUM(Estimate!F717)</f>
        <v>9000</v>
      </c>
      <c r="D64" s="352">
        <f>ROUND(Estimate!F721,0)</f>
        <v>10538</v>
      </c>
      <c r="E64" s="351"/>
      <c r="F64" s="351"/>
      <c r="G64" s="351"/>
      <c r="H64" s="353">
        <f t="shared" ref="H64" si="8">ROUND(IF(ISNUMBER(D64),D64,C64)+E64+F64+G64,2)</f>
        <v>10538</v>
      </c>
      <c r="I64" s="351"/>
      <c r="J64" s="351" t="str">
        <f t="shared" ref="J64" si="9">IF(I64="","",I64-H64)</f>
        <v/>
      </c>
      <c r="K64" s="354" t="s">
        <v>678</v>
      </c>
    </row>
    <row r="65" spans="1:11" ht="49.5" customHeight="1" thickBot="1" x14ac:dyDescent="0.3">
      <c r="A65" s="298" t="s">
        <v>1699</v>
      </c>
      <c r="B65" s="299" t="s">
        <v>1701</v>
      </c>
      <c r="C65" s="300">
        <f>SUM(Estimate!F726)</f>
        <v>9500</v>
      </c>
      <c r="D65" s="301">
        <f>ROUND(Estimate!F730,0)</f>
        <v>11123</v>
      </c>
      <c r="E65" s="300"/>
      <c r="F65" s="300"/>
      <c r="G65" s="300"/>
      <c r="H65" s="302">
        <f t="shared" ref="H65" si="10">ROUND(IF(ISNUMBER(D65),D65,C65)+E65+F65+G65,2)</f>
        <v>11123</v>
      </c>
      <c r="I65" s="300"/>
      <c r="J65" s="300" t="str">
        <f t="shared" ref="J65" si="11">IF(I65="","",I65-H65)</f>
        <v/>
      </c>
      <c r="K65" s="303" t="s">
        <v>678</v>
      </c>
    </row>
    <row r="66" spans="1:11" ht="49.5" customHeight="1" thickBot="1" x14ac:dyDescent="0.3">
      <c r="A66" s="298" t="s">
        <v>117</v>
      </c>
      <c r="B66" s="299" t="s">
        <v>1843</v>
      </c>
      <c r="C66" s="300">
        <f>SUM(Estimate!F736)</f>
        <v>-18523.582000000002</v>
      </c>
      <c r="D66" s="301">
        <f>ROUND(Estimate!F740,0)</f>
        <v>-20175</v>
      </c>
      <c r="E66" s="300"/>
      <c r="F66" s="300"/>
      <c r="G66" s="300"/>
      <c r="H66" s="302">
        <f t="shared" ref="H66:H67" si="12">ROUND(IF(ISNUMBER(D66),D66,C66)+E66+F66+G66,2)</f>
        <v>-20175</v>
      </c>
      <c r="I66" s="300"/>
      <c r="J66" s="300" t="str">
        <f t="shared" ref="J66:J67" si="13">IF(I66="","",I66-H66)</f>
        <v/>
      </c>
      <c r="K66" s="303" t="s">
        <v>678</v>
      </c>
    </row>
    <row r="67" spans="1:11" ht="49.5" customHeight="1" x14ac:dyDescent="0.25">
      <c r="A67" s="355" t="s">
        <v>117</v>
      </c>
      <c r="B67" s="356" t="s">
        <v>1844</v>
      </c>
      <c r="C67" s="357">
        <f>SUM(Estimate!F746)</f>
        <v>-29108.486000000004</v>
      </c>
      <c r="D67" s="358">
        <f>ROUND(Estimate!F750,0)</f>
        <v>-31704</v>
      </c>
      <c r="E67" s="357"/>
      <c r="F67" s="357"/>
      <c r="G67" s="357"/>
      <c r="H67" s="359">
        <f t="shared" si="12"/>
        <v>-31704</v>
      </c>
      <c r="I67" s="357"/>
      <c r="J67" s="357" t="str">
        <f t="shared" si="13"/>
        <v/>
      </c>
      <c r="K67" s="360" t="s">
        <v>678</v>
      </c>
    </row>
    <row r="68" spans="1:11" ht="49.5" customHeight="1" x14ac:dyDescent="0.25">
      <c r="A68" s="355" t="s">
        <v>1903</v>
      </c>
      <c r="B68" s="356" t="s">
        <v>1905</v>
      </c>
      <c r="C68" s="357">
        <f>SUM(Estimate!F755)</f>
        <v>6000</v>
      </c>
      <c r="D68" s="358">
        <f>ROUND(Estimate!F759,0)</f>
        <v>7025</v>
      </c>
      <c r="E68" s="357"/>
      <c r="F68" s="357"/>
      <c r="G68" s="357"/>
      <c r="H68" s="359">
        <f t="shared" ref="H68" si="14">ROUND(IF(ISNUMBER(D68),D68,C68)+E68+F68+G68,2)</f>
        <v>7025</v>
      </c>
      <c r="I68" s="357"/>
      <c r="J68" s="357" t="str">
        <f t="shared" ref="J68" si="15">IF(I68="","",I68-H68)</f>
        <v/>
      </c>
      <c r="K68" s="360" t="s">
        <v>678</v>
      </c>
    </row>
    <row r="69" spans="1:11" ht="19.5" customHeight="1" x14ac:dyDescent="0.25">
      <c r="A69" s="346" t="s">
        <v>694</v>
      </c>
      <c r="B69" s="346"/>
      <c r="C69" s="347"/>
      <c r="D69" s="347"/>
      <c r="E69" s="347"/>
      <c r="F69" s="347"/>
      <c r="G69" s="347"/>
      <c r="H69" s="347">
        <f>SUMIFS(H49:H68,I49:I68,"&lt;&gt;")</f>
        <v>0</v>
      </c>
      <c r="I69" s="347">
        <f>SUM(I49:I68)</f>
        <v>0</v>
      </c>
      <c r="J69" s="347"/>
      <c r="K69" s="348"/>
    </row>
    <row r="70" spans="1:11" ht="19.5" customHeight="1" thickBot="1" x14ac:dyDescent="0.3">
      <c r="A70" s="236" t="s">
        <v>695</v>
      </c>
      <c r="B70" s="236"/>
      <c r="C70" s="112"/>
      <c r="D70" s="112"/>
      <c r="E70" s="112"/>
      <c r="F70" s="112"/>
      <c r="G70" s="112"/>
      <c r="H70" s="112">
        <f>SUMIFS(H49:H68,I49:I68,"")</f>
        <v>723930</v>
      </c>
      <c r="I70" s="112"/>
      <c r="J70" s="112"/>
      <c r="K70" s="295"/>
    </row>
    <row r="71" spans="1:11" ht="16.5" thickBot="1" x14ac:dyDescent="0.3">
      <c r="A71" s="226" t="s">
        <v>1615</v>
      </c>
      <c r="B71" s="226"/>
      <c r="C71" s="72"/>
      <c r="D71" s="98"/>
      <c r="E71" s="72"/>
      <c r="F71" s="72"/>
      <c r="G71" s="72"/>
      <c r="H71" s="72">
        <f>ROUND(C43+SUM(H49:H68),0)</f>
        <v>5437846</v>
      </c>
      <c r="I71" s="39"/>
      <c r="J71" s="39"/>
      <c r="K71" s="291"/>
    </row>
  </sheetData>
  <mergeCells count="9">
    <mergeCell ref="A71:B71"/>
    <mergeCell ref="A47:K47"/>
    <mergeCell ref="A69:B69"/>
    <mergeCell ref="A70:B70"/>
    <mergeCell ref="A1:K1"/>
    <mergeCell ref="A2:K2"/>
    <mergeCell ref="A3:K3"/>
    <mergeCell ref="A39:B39"/>
    <mergeCell ref="A43:B43"/>
  </mergeCells>
  <conditionalFormatting sqref="E6:H38">
    <cfRule type="expression" dxfId="0" priority="4">
      <formula>AND(ISNUMBER(E6),COUNT($E6:$H6)&gt;0,E6=MIN($E6:$H6))</formula>
    </cfRule>
  </conditionalFormatting>
  <pageMargins left="0.75" right="0.75" top="1" bottom="1" header="0.511811023622047" footer="0.511811023622047"/>
  <pageSetup fitToHeight="0" orientation="landscape" horizontalDpi="300" verticalDpi="300"/>
  <rowBreaks count="1" manualBreakCount="1">
    <brk id="45"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C59"/>
  <sheetViews>
    <sheetView showGridLines="0" zoomScaleNormal="100" workbookViewId="0">
      <pane ySplit="4" topLeftCell="A16" activePane="bottomLeft" state="frozen"/>
      <selection pane="bottomLeft" activeCell="C26" sqref="C26"/>
    </sheetView>
  </sheetViews>
  <sheetFormatPr defaultColWidth="8.7109375" defaultRowHeight="15" x14ac:dyDescent="0.25"/>
  <cols>
    <col min="1" max="1" width="16" customWidth="1"/>
    <col min="2" max="2" width="51.140625" bestFit="1" customWidth="1"/>
    <col min="3" max="3" width="104" customWidth="1"/>
  </cols>
  <sheetData>
    <row r="1" spans="1:3" ht="24" customHeight="1" x14ac:dyDescent="0.35">
      <c r="A1" s="237" t="s">
        <v>696</v>
      </c>
      <c r="B1" s="237"/>
      <c r="C1" s="237"/>
    </row>
    <row r="2" spans="1:3" ht="18" customHeight="1" x14ac:dyDescent="0.25">
      <c r="A2" s="241" t="s">
        <v>614</v>
      </c>
      <c r="B2" s="241"/>
      <c r="C2" s="241"/>
    </row>
    <row r="4" spans="1:3" ht="30" customHeight="1" thickBot="1" x14ac:dyDescent="0.3">
      <c r="A4" s="85" t="s">
        <v>697</v>
      </c>
      <c r="B4" s="86" t="s">
        <v>698</v>
      </c>
      <c r="C4" s="113" t="s">
        <v>699</v>
      </c>
    </row>
    <row r="5" spans="1:3" ht="26.25" thickBot="1" x14ac:dyDescent="0.3">
      <c r="A5" s="114" t="s">
        <v>700</v>
      </c>
      <c r="B5" s="115" t="s">
        <v>1648</v>
      </c>
      <c r="C5" s="116" t="s">
        <v>1916</v>
      </c>
    </row>
    <row r="6" spans="1:3" ht="26.25" thickBot="1" x14ac:dyDescent="0.3">
      <c r="A6" s="114" t="s">
        <v>700</v>
      </c>
      <c r="B6" s="115" t="s">
        <v>701</v>
      </c>
      <c r="C6" s="116" t="s">
        <v>1917</v>
      </c>
    </row>
    <row r="7" spans="1:3" ht="39" thickBot="1" x14ac:dyDescent="0.3">
      <c r="A7" s="114" t="s">
        <v>700</v>
      </c>
      <c r="B7" s="115" t="s">
        <v>1849</v>
      </c>
      <c r="C7" s="116" t="s">
        <v>1932</v>
      </c>
    </row>
    <row r="8" spans="1:3" ht="26.25" thickBot="1" x14ac:dyDescent="0.3">
      <c r="A8" s="114" t="s">
        <v>700</v>
      </c>
      <c r="B8" s="115" t="s">
        <v>703</v>
      </c>
      <c r="C8" s="116" t="s">
        <v>1918</v>
      </c>
    </row>
    <row r="9" spans="1:3" ht="15.75" thickBot="1" x14ac:dyDescent="0.3">
      <c r="A9" s="114" t="s">
        <v>700</v>
      </c>
      <c r="B9" s="115" t="s">
        <v>704</v>
      </c>
      <c r="C9" s="116" t="s">
        <v>1657</v>
      </c>
    </row>
    <row r="10" spans="1:3" ht="15.75" thickBot="1" x14ac:dyDescent="0.3">
      <c r="A10" s="114" t="s">
        <v>700</v>
      </c>
      <c r="B10" s="115" t="s">
        <v>1659</v>
      </c>
      <c r="C10" s="116" t="s">
        <v>1919</v>
      </c>
    </row>
    <row r="11" spans="1:3" ht="15.75" thickBot="1" x14ac:dyDescent="0.3">
      <c r="A11" s="114" t="s">
        <v>700</v>
      </c>
      <c r="B11" s="115" t="s">
        <v>1660</v>
      </c>
      <c r="C11" s="116" t="s">
        <v>1920</v>
      </c>
    </row>
    <row r="12" spans="1:3" ht="15.75" thickBot="1" x14ac:dyDescent="0.3">
      <c r="A12" s="114" t="s">
        <v>700</v>
      </c>
      <c r="B12" s="115" t="s">
        <v>1661</v>
      </c>
      <c r="C12" s="116" t="s">
        <v>1921</v>
      </c>
    </row>
    <row r="13" spans="1:3" ht="26.25" thickBot="1" x14ac:dyDescent="0.3">
      <c r="A13" s="114" t="s">
        <v>700</v>
      </c>
      <c r="B13" s="115" t="s">
        <v>1662</v>
      </c>
      <c r="C13" s="116" t="s">
        <v>1922</v>
      </c>
    </row>
    <row r="14" spans="1:3" ht="26.25" thickBot="1" x14ac:dyDescent="0.3">
      <c r="A14" s="114" t="s">
        <v>700</v>
      </c>
      <c r="B14" s="115" t="s">
        <v>1663</v>
      </c>
      <c r="C14" s="116" t="s">
        <v>1923</v>
      </c>
    </row>
    <row r="15" spans="1:3" ht="15.75" thickBot="1" x14ac:dyDescent="0.3">
      <c r="A15" s="114" t="s">
        <v>700</v>
      </c>
      <c r="B15" s="115" t="s">
        <v>1664</v>
      </c>
      <c r="C15" s="116" t="s">
        <v>1924</v>
      </c>
    </row>
    <row r="16" spans="1:3" ht="26.25" thickBot="1" x14ac:dyDescent="0.3">
      <c r="A16" s="114" t="s">
        <v>700</v>
      </c>
      <c r="B16" s="115" t="s">
        <v>1914</v>
      </c>
      <c r="C16" s="116" t="s">
        <v>1925</v>
      </c>
    </row>
    <row r="17" spans="1:3" ht="26.25" thickBot="1" x14ac:dyDescent="0.3">
      <c r="A17" s="114" t="s">
        <v>700</v>
      </c>
      <c r="B17" s="115" t="s">
        <v>1695</v>
      </c>
      <c r="C17" s="116" t="s">
        <v>1926</v>
      </c>
    </row>
    <row r="18" spans="1:3" ht="15.75" thickBot="1" x14ac:dyDescent="0.3">
      <c r="A18" s="114" t="s">
        <v>700</v>
      </c>
      <c r="B18" s="115" t="s">
        <v>1696</v>
      </c>
      <c r="C18" s="116" t="s">
        <v>1927</v>
      </c>
    </row>
    <row r="19" spans="1:3" ht="26.25" thickBot="1" x14ac:dyDescent="0.3">
      <c r="A19" s="114" t="s">
        <v>700</v>
      </c>
      <c r="B19" s="115" t="s">
        <v>1697</v>
      </c>
      <c r="C19" s="116" t="s">
        <v>1928</v>
      </c>
    </row>
    <row r="20" spans="1:3" ht="26.25" thickBot="1" x14ac:dyDescent="0.3">
      <c r="A20" s="114" t="s">
        <v>700</v>
      </c>
      <c r="B20" s="115" t="s">
        <v>1895</v>
      </c>
      <c r="C20" s="116" t="s">
        <v>1929</v>
      </c>
    </row>
    <row r="21" spans="1:3" ht="26.25" thickBot="1" x14ac:dyDescent="0.3">
      <c r="A21" s="114" t="s">
        <v>700</v>
      </c>
      <c r="B21" s="115" t="s">
        <v>1906</v>
      </c>
      <c r="C21" s="116" t="s">
        <v>1933</v>
      </c>
    </row>
    <row r="22" spans="1:3" ht="26.25" thickBot="1" x14ac:dyDescent="0.3">
      <c r="A22" s="362" t="s">
        <v>1851</v>
      </c>
      <c r="B22" s="363" t="s">
        <v>702</v>
      </c>
      <c r="C22" s="364" t="s">
        <v>1852</v>
      </c>
    </row>
    <row r="23" spans="1:3" ht="26.25" thickBot="1" x14ac:dyDescent="0.3">
      <c r="A23" s="362" t="s">
        <v>1851</v>
      </c>
      <c r="B23" s="363" t="s">
        <v>1850</v>
      </c>
      <c r="C23" s="364" t="s">
        <v>1934</v>
      </c>
    </row>
    <row r="24" spans="1:3" ht="39" thickBot="1" x14ac:dyDescent="0.3">
      <c r="A24" s="362" t="s">
        <v>1851</v>
      </c>
      <c r="B24" s="363" t="s">
        <v>712</v>
      </c>
      <c r="C24" s="364" t="s">
        <v>1678</v>
      </c>
    </row>
    <row r="25" spans="1:3" ht="15.75" thickBot="1" x14ac:dyDescent="0.3">
      <c r="A25" s="362" t="s">
        <v>1851</v>
      </c>
      <c r="B25" s="363" t="s">
        <v>1853</v>
      </c>
      <c r="C25" s="364" t="s">
        <v>1854</v>
      </c>
    </row>
    <row r="26" spans="1:3" ht="15.75" thickBot="1" x14ac:dyDescent="0.3">
      <c r="A26" s="362" t="s">
        <v>1851</v>
      </c>
      <c r="B26" s="363" t="s">
        <v>1823</v>
      </c>
      <c r="C26" s="364" t="s">
        <v>1855</v>
      </c>
    </row>
    <row r="27" spans="1:3" ht="26.25" thickBot="1" x14ac:dyDescent="0.3">
      <c r="A27" s="362" t="s">
        <v>1851</v>
      </c>
      <c r="B27" s="363" t="s">
        <v>705</v>
      </c>
      <c r="C27" s="364" t="s">
        <v>1658</v>
      </c>
    </row>
    <row r="28" spans="1:3" ht="26.25" thickBot="1" x14ac:dyDescent="0.3">
      <c r="A28" s="362" t="s">
        <v>1851</v>
      </c>
      <c r="B28" s="363" t="s">
        <v>1856</v>
      </c>
      <c r="C28" s="364" t="s">
        <v>1857</v>
      </c>
    </row>
    <row r="29" spans="1:3" ht="51" x14ac:dyDescent="0.25">
      <c r="A29" s="362" t="s">
        <v>1851</v>
      </c>
      <c r="B29" s="363" t="s">
        <v>1898</v>
      </c>
      <c r="C29" s="364" t="s">
        <v>1899</v>
      </c>
    </row>
    <row r="30" spans="1:3" ht="38.25" x14ac:dyDescent="0.25">
      <c r="A30" s="119" t="s">
        <v>706</v>
      </c>
      <c r="B30" s="120" t="s">
        <v>1665</v>
      </c>
      <c r="C30" s="121" t="s">
        <v>707</v>
      </c>
    </row>
    <row r="31" spans="1:3" ht="38.25" x14ac:dyDescent="0.25">
      <c r="A31" s="119" t="s">
        <v>706</v>
      </c>
      <c r="B31" s="120" t="s">
        <v>1666</v>
      </c>
      <c r="C31" s="121" t="s">
        <v>1667</v>
      </c>
    </row>
    <row r="32" spans="1:3" x14ac:dyDescent="0.25">
      <c r="A32" s="119" t="s">
        <v>706</v>
      </c>
      <c r="B32" s="120" t="s">
        <v>1668</v>
      </c>
      <c r="C32" s="121" t="s">
        <v>1669</v>
      </c>
    </row>
    <row r="33" spans="1:3" ht="38.25" x14ac:dyDescent="0.25">
      <c r="A33" s="119" t="s">
        <v>706</v>
      </c>
      <c r="B33" s="120" t="s">
        <v>1670</v>
      </c>
      <c r="C33" s="121" t="s">
        <v>1930</v>
      </c>
    </row>
    <row r="34" spans="1:3" ht="25.5" x14ac:dyDescent="0.25">
      <c r="A34" s="119" t="s">
        <v>706</v>
      </c>
      <c r="B34" s="120" t="s">
        <v>1671</v>
      </c>
      <c r="C34" s="121" t="s">
        <v>1672</v>
      </c>
    </row>
    <row r="35" spans="1:3" ht="38.25" x14ac:dyDescent="0.25">
      <c r="A35" s="119" t="s">
        <v>706</v>
      </c>
      <c r="B35" s="120" t="s">
        <v>1907</v>
      </c>
      <c r="C35" s="121" t="s">
        <v>1935</v>
      </c>
    </row>
    <row r="36" spans="1:3" ht="127.5" x14ac:dyDescent="0.25">
      <c r="A36" s="119" t="s">
        <v>706</v>
      </c>
      <c r="B36" s="120" t="s">
        <v>1908</v>
      </c>
      <c r="C36" s="121" t="s">
        <v>1937</v>
      </c>
    </row>
    <row r="37" spans="1:3" ht="89.25" x14ac:dyDescent="0.25">
      <c r="A37" s="119" t="s">
        <v>706</v>
      </c>
      <c r="B37" s="120" t="s">
        <v>1909</v>
      </c>
      <c r="C37" s="121" t="s">
        <v>1910</v>
      </c>
    </row>
    <row r="38" spans="1:3" ht="25.5" x14ac:dyDescent="0.25">
      <c r="A38" s="119" t="s">
        <v>706</v>
      </c>
      <c r="B38" s="120" t="s">
        <v>1673</v>
      </c>
      <c r="C38" s="121" t="s">
        <v>1674</v>
      </c>
    </row>
    <row r="39" spans="1:3" ht="38.25" x14ac:dyDescent="0.25">
      <c r="A39" s="119" t="s">
        <v>706</v>
      </c>
      <c r="B39" s="120" t="s">
        <v>708</v>
      </c>
      <c r="C39" s="121" t="s">
        <v>1675</v>
      </c>
    </row>
    <row r="40" spans="1:3" ht="25.5" x14ac:dyDescent="0.25">
      <c r="A40" s="119" t="s">
        <v>706</v>
      </c>
      <c r="B40" s="120" t="s">
        <v>1643</v>
      </c>
      <c r="C40" s="121" t="s">
        <v>1644</v>
      </c>
    </row>
    <row r="41" spans="1:3" ht="38.25" x14ac:dyDescent="0.25">
      <c r="A41" s="119" t="s">
        <v>706</v>
      </c>
      <c r="B41" s="120" t="s">
        <v>709</v>
      </c>
      <c r="C41" s="121" t="s">
        <v>1676</v>
      </c>
    </row>
    <row r="42" spans="1:3" ht="25.5" x14ac:dyDescent="0.25">
      <c r="A42" s="119" t="s">
        <v>706</v>
      </c>
      <c r="B42" s="120" t="s">
        <v>724</v>
      </c>
      <c r="C42" s="121" t="s">
        <v>1677</v>
      </c>
    </row>
    <row r="43" spans="1:3" ht="51" x14ac:dyDescent="0.25">
      <c r="A43" s="119" t="s">
        <v>706</v>
      </c>
      <c r="B43" s="120" t="s">
        <v>723</v>
      </c>
      <c r="C43" s="121" t="s">
        <v>1931</v>
      </c>
    </row>
    <row r="44" spans="1:3" ht="38.25" x14ac:dyDescent="0.25">
      <c r="A44" s="119" t="s">
        <v>706</v>
      </c>
      <c r="B44" s="120" t="s">
        <v>710</v>
      </c>
      <c r="C44" s="121" t="s">
        <v>711</v>
      </c>
    </row>
    <row r="45" spans="1:3" ht="38.25" x14ac:dyDescent="0.25">
      <c r="A45" s="119" t="s">
        <v>706</v>
      </c>
      <c r="B45" s="120" t="s">
        <v>1860</v>
      </c>
      <c r="C45" s="121" t="s">
        <v>1861</v>
      </c>
    </row>
    <row r="46" spans="1:3" ht="25.5" x14ac:dyDescent="0.25">
      <c r="A46" s="119" t="s">
        <v>706</v>
      </c>
      <c r="B46" s="120" t="s">
        <v>713</v>
      </c>
      <c r="C46" s="121" t="s">
        <v>1679</v>
      </c>
    </row>
    <row r="47" spans="1:3" ht="51" x14ac:dyDescent="0.25">
      <c r="A47" s="119" t="s">
        <v>706</v>
      </c>
      <c r="B47" s="120" t="s">
        <v>1680</v>
      </c>
      <c r="C47" s="121" t="s">
        <v>1936</v>
      </c>
    </row>
    <row r="48" spans="1:3" ht="25.5" x14ac:dyDescent="0.25">
      <c r="A48" s="119" t="s">
        <v>706</v>
      </c>
      <c r="B48" s="120" t="s">
        <v>714</v>
      </c>
      <c r="C48" s="121" t="s">
        <v>1681</v>
      </c>
    </row>
    <row r="49" spans="1:3" ht="25.5" x14ac:dyDescent="0.25">
      <c r="A49" s="119" t="s">
        <v>706</v>
      </c>
      <c r="B49" s="120" t="s">
        <v>715</v>
      </c>
      <c r="C49" s="121" t="s">
        <v>1682</v>
      </c>
    </row>
    <row r="50" spans="1:3" ht="25.5" x14ac:dyDescent="0.25">
      <c r="A50" s="119" t="s">
        <v>706</v>
      </c>
      <c r="B50" s="120" t="s">
        <v>716</v>
      </c>
      <c r="C50" s="121" t="s">
        <v>1683</v>
      </c>
    </row>
    <row r="51" spans="1:3" ht="25.5" x14ac:dyDescent="0.25">
      <c r="A51" s="119" t="s">
        <v>706</v>
      </c>
      <c r="B51" s="120" t="s">
        <v>717</v>
      </c>
      <c r="C51" s="121" t="s">
        <v>1684</v>
      </c>
    </row>
    <row r="52" spans="1:3" ht="25.5" x14ac:dyDescent="0.25">
      <c r="A52" s="119" t="s">
        <v>706</v>
      </c>
      <c r="B52" s="120" t="s">
        <v>718</v>
      </c>
      <c r="C52" s="121" t="s">
        <v>1685</v>
      </c>
    </row>
    <row r="53" spans="1:3" ht="25.5" x14ac:dyDescent="0.25">
      <c r="A53" s="119" t="s">
        <v>706</v>
      </c>
      <c r="B53" s="120" t="s">
        <v>725</v>
      </c>
      <c r="C53" s="121" t="s">
        <v>1686</v>
      </c>
    </row>
    <row r="54" spans="1:3" x14ac:dyDescent="0.25">
      <c r="A54" s="119" t="s">
        <v>706</v>
      </c>
      <c r="B54" s="120" t="s">
        <v>719</v>
      </c>
      <c r="C54" s="121" t="s">
        <v>720</v>
      </c>
    </row>
    <row r="55" spans="1:3" ht="25.5" x14ac:dyDescent="0.25">
      <c r="A55" s="119" t="s">
        <v>706</v>
      </c>
      <c r="B55" s="120" t="s">
        <v>721</v>
      </c>
      <c r="C55" s="121" t="s">
        <v>1687</v>
      </c>
    </row>
    <row r="56" spans="1:3" ht="25.5" x14ac:dyDescent="0.25">
      <c r="A56" s="119" t="s">
        <v>706</v>
      </c>
      <c r="B56" s="120" t="s">
        <v>1688</v>
      </c>
      <c r="C56" s="121" t="s">
        <v>1689</v>
      </c>
    </row>
    <row r="57" spans="1:3" ht="38.25" x14ac:dyDescent="0.25">
      <c r="A57" s="119" t="s">
        <v>706</v>
      </c>
      <c r="B57" s="120" t="s">
        <v>1690</v>
      </c>
      <c r="C57" s="121" t="s">
        <v>1691</v>
      </c>
    </row>
    <row r="58" spans="1:3" ht="25.5" x14ac:dyDescent="0.25">
      <c r="A58" s="119" t="s">
        <v>706</v>
      </c>
      <c r="B58" s="120" t="s">
        <v>1692</v>
      </c>
      <c r="C58" s="121" t="s">
        <v>1693</v>
      </c>
    </row>
    <row r="59" spans="1:3" ht="25.5" x14ac:dyDescent="0.25">
      <c r="A59" s="119" t="s">
        <v>706</v>
      </c>
      <c r="B59" s="120" t="s">
        <v>722</v>
      </c>
      <c r="C59" s="121" t="s">
        <v>1694</v>
      </c>
    </row>
  </sheetData>
  <mergeCells count="2">
    <mergeCell ref="A1:C1"/>
    <mergeCell ref="A2:C2"/>
  </mergeCells>
  <pageMargins left="0.75" right="0.75" top="1" bottom="1"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11B040-C743-4B41-9B83-23FA3882316E}">
  <sheetPr>
    <pageSetUpPr fitToPage="1"/>
  </sheetPr>
  <dimension ref="A1:G84"/>
  <sheetViews>
    <sheetView showGridLines="0" topLeftCell="A37" zoomScaleNormal="100" workbookViewId="0">
      <selection activeCell="F25" sqref="F25"/>
    </sheetView>
  </sheetViews>
  <sheetFormatPr defaultColWidth="8.7109375" defaultRowHeight="15" x14ac:dyDescent="0.25"/>
  <cols>
    <col min="1" max="1" width="10" customWidth="1"/>
    <col min="2" max="2" width="52" customWidth="1"/>
    <col min="3" max="3" width="9" customWidth="1"/>
    <col min="4" max="4" width="7" customWidth="1"/>
    <col min="5" max="5" width="12" customWidth="1"/>
    <col min="6" max="6" width="14" customWidth="1"/>
    <col min="7" max="7" width="80" customWidth="1"/>
  </cols>
  <sheetData>
    <row r="1" spans="1:7" ht="18" x14ac:dyDescent="0.25">
      <c r="A1" s="311" t="s">
        <v>1702</v>
      </c>
    </row>
    <row r="2" spans="1:7" x14ac:dyDescent="0.25">
      <c r="A2" s="312" t="s">
        <v>1703</v>
      </c>
    </row>
    <row r="3" spans="1:7" x14ac:dyDescent="0.25">
      <c r="A3" s="313" t="s">
        <v>1704</v>
      </c>
    </row>
    <row r="5" spans="1:7" x14ac:dyDescent="0.25">
      <c r="A5" s="314" t="s">
        <v>1705</v>
      </c>
    </row>
    <row r="6" spans="1:7" ht="25.5" x14ac:dyDescent="0.25">
      <c r="B6" s="315" t="s">
        <v>1706</v>
      </c>
      <c r="E6" s="316">
        <v>48</v>
      </c>
      <c r="G6" s="317" t="s">
        <v>1707</v>
      </c>
    </row>
    <row r="7" spans="1:7" x14ac:dyDescent="0.25">
      <c r="B7" s="315" t="s">
        <v>1708</v>
      </c>
      <c r="E7" s="318">
        <f>E6*12/52</f>
        <v>11.076923076923077</v>
      </c>
      <c r="G7" s="317" t="s">
        <v>1709</v>
      </c>
    </row>
    <row r="8" spans="1:7" ht="25.5" x14ac:dyDescent="0.25">
      <c r="B8" s="315" t="s">
        <v>1710</v>
      </c>
      <c r="E8" s="319">
        <v>135000</v>
      </c>
      <c r="G8" s="317" t="s">
        <v>1711</v>
      </c>
    </row>
    <row r="9" spans="1:7" ht="25.5" x14ac:dyDescent="0.25">
      <c r="B9" s="315" t="s">
        <v>1712</v>
      </c>
      <c r="E9" s="319">
        <v>135000</v>
      </c>
      <c r="G9" s="317" t="s">
        <v>1713</v>
      </c>
    </row>
    <row r="10" spans="1:7" ht="25.5" x14ac:dyDescent="0.25">
      <c r="B10" s="315" t="s">
        <v>1714</v>
      </c>
      <c r="E10" s="320">
        <v>0.32</v>
      </c>
      <c r="G10" s="317" t="s">
        <v>1715</v>
      </c>
    </row>
    <row r="11" spans="1:7" x14ac:dyDescent="0.25">
      <c r="B11" s="315" t="s">
        <v>1716</v>
      </c>
      <c r="E11" s="321">
        <v>1</v>
      </c>
      <c r="G11" s="317" t="s">
        <v>1717</v>
      </c>
    </row>
    <row r="12" spans="1:7" x14ac:dyDescent="0.25">
      <c r="B12" s="315" t="s">
        <v>1718</v>
      </c>
      <c r="E12" s="321">
        <v>0.5</v>
      </c>
      <c r="G12" s="317" t="s">
        <v>1719</v>
      </c>
    </row>
    <row r="13" spans="1:7" x14ac:dyDescent="0.25">
      <c r="B13" s="315" t="s">
        <v>1720</v>
      </c>
      <c r="E13" s="322">
        <v>52</v>
      </c>
      <c r="G13" s="317" t="s">
        <v>1721</v>
      </c>
    </row>
    <row r="14" spans="1:7" x14ac:dyDescent="0.25">
      <c r="B14" s="315" t="s">
        <v>1722</v>
      </c>
      <c r="E14" s="323">
        <v>8</v>
      </c>
      <c r="G14" s="317" t="s">
        <v>1723</v>
      </c>
    </row>
    <row r="15" spans="1:7" ht="25.5" x14ac:dyDescent="0.25">
      <c r="B15" s="315" t="s">
        <v>1724</v>
      </c>
      <c r="E15" s="324">
        <v>4134000</v>
      </c>
      <c r="G15" s="317" t="s">
        <v>1725</v>
      </c>
    </row>
    <row r="16" spans="1:7" ht="25.5" x14ac:dyDescent="0.25">
      <c r="B16" s="315" t="s">
        <v>1846</v>
      </c>
      <c r="E16" s="361">
        <f>Estimate!E516</f>
        <v>7.4999999999999997E-2</v>
      </c>
      <c r="G16" s="317" t="s">
        <v>1847</v>
      </c>
    </row>
    <row r="18" spans="1:7" ht="18" customHeight="1" x14ac:dyDescent="0.25">
      <c r="A18" s="325" t="s">
        <v>6</v>
      </c>
      <c r="B18" s="325" t="s">
        <v>698</v>
      </c>
      <c r="C18" s="326" t="s">
        <v>8</v>
      </c>
      <c r="D18" s="327" t="s">
        <v>9</v>
      </c>
      <c r="E18" s="326" t="s">
        <v>1726</v>
      </c>
      <c r="F18" s="326" t="s">
        <v>1727</v>
      </c>
      <c r="G18" s="327" t="s">
        <v>525</v>
      </c>
    </row>
    <row r="19" spans="1:7" x14ac:dyDescent="0.25">
      <c r="A19" s="328" t="s">
        <v>1728</v>
      </c>
      <c r="B19" s="328" t="s">
        <v>1729</v>
      </c>
      <c r="C19" s="329"/>
      <c r="D19" s="329"/>
      <c r="E19" s="329"/>
      <c r="F19" s="329"/>
      <c r="G19" s="329"/>
    </row>
    <row r="20" spans="1:7" ht="25.5" x14ac:dyDescent="0.25">
      <c r="A20" s="330" t="s">
        <v>1730</v>
      </c>
      <c r="B20" s="331" t="s">
        <v>1731</v>
      </c>
      <c r="C20" s="332">
        <f>$E$6*$E$11</f>
        <v>48</v>
      </c>
      <c r="D20" s="333" t="s">
        <v>1732</v>
      </c>
      <c r="E20" s="334">
        <v>2650</v>
      </c>
      <c r="F20" s="335">
        <f>ROUND(C20*E20,0)</f>
        <v>127200</v>
      </c>
      <c r="G20" s="317" t="s">
        <v>1733</v>
      </c>
    </row>
    <row r="21" spans="1:7" ht="25.5" x14ac:dyDescent="0.25">
      <c r="A21" s="330" t="s">
        <v>1730</v>
      </c>
      <c r="B21" s="331" t="s">
        <v>1734</v>
      </c>
      <c r="C21" s="332">
        <f>$E$6*$E$12</f>
        <v>24</v>
      </c>
      <c r="D21" s="333" t="s">
        <v>1732</v>
      </c>
      <c r="E21" s="334">
        <v>2650</v>
      </c>
      <c r="F21" s="335">
        <f>ROUND(C21*E21,0)</f>
        <v>63600</v>
      </c>
      <c r="G21" s="317" t="s">
        <v>1735</v>
      </c>
    </row>
    <row r="22" spans="1:7" x14ac:dyDescent="0.25">
      <c r="A22" s="330"/>
      <c r="B22" s="331" t="s">
        <v>1915</v>
      </c>
      <c r="C22" s="332">
        <f>C20*0.2</f>
        <v>9.6000000000000014</v>
      </c>
      <c r="D22" s="333" t="s">
        <v>1732</v>
      </c>
      <c r="E22" s="334">
        <v>3650</v>
      </c>
      <c r="F22" s="335">
        <f>ROUND(C22*E22,0)</f>
        <v>35040</v>
      </c>
      <c r="G22" s="317"/>
    </row>
    <row r="23" spans="1:7" x14ac:dyDescent="0.25">
      <c r="A23" s="330" t="s">
        <v>1730</v>
      </c>
      <c r="B23" s="331" t="s">
        <v>1736</v>
      </c>
      <c r="C23" s="332">
        <f>$E$7</f>
        <v>11.076923076923077</v>
      </c>
      <c r="D23" s="333" t="s">
        <v>1737</v>
      </c>
      <c r="E23" s="324">
        <v>1200</v>
      </c>
      <c r="F23" s="335">
        <f>ROUND(C23*E23,0)</f>
        <v>13292</v>
      </c>
      <c r="G23" s="317" t="s">
        <v>1738</v>
      </c>
    </row>
    <row r="24" spans="1:7" ht="25.5" x14ac:dyDescent="0.25">
      <c r="A24" s="330" t="s">
        <v>1739</v>
      </c>
      <c r="B24" s="331" t="s">
        <v>1740</v>
      </c>
      <c r="C24" s="336">
        <v>1</v>
      </c>
      <c r="D24" s="333" t="s">
        <v>19</v>
      </c>
      <c r="E24" s="324">
        <v>2500</v>
      </c>
      <c r="F24" s="335">
        <f>ROUND(C24*E24,0)</f>
        <v>2500</v>
      </c>
      <c r="G24" s="317" t="s">
        <v>1741</v>
      </c>
    </row>
    <row r="25" spans="1:7" x14ac:dyDescent="0.25">
      <c r="B25" s="314" t="s">
        <v>1742</v>
      </c>
      <c r="F25" s="337">
        <f>SUM(F20:F24)</f>
        <v>241632</v>
      </c>
    </row>
    <row r="27" spans="1:7" x14ac:dyDescent="0.25">
      <c r="A27" s="328" t="s">
        <v>1743</v>
      </c>
      <c r="B27" s="328" t="s">
        <v>1744</v>
      </c>
      <c r="C27" s="329"/>
      <c r="D27" s="329"/>
      <c r="E27" s="329"/>
      <c r="F27" s="329"/>
      <c r="G27" s="329"/>
    </row>
    <row r="28" spans="1:7" ht="25.5" x14ac:dyDescent="0.25">
      <c r="A28" s="330" t="s">
        <v>1745</v>
      </c>
      <c r="B28" s="331" t="s">
        <v>1746</v>
      </c>
      <c r="C28" s="332">
        <f>$E$7</f>
        <v>11.076923076923077</v>
      </c>
      <c r="D28" s="333" t="s">
        <v>1737</v>
      </c>
      <c r="E28" s="324">
        <v>225</v>
      </c>
      <c r="F28" s="335">
        <f t="shared" ref="F28:F35" si="0">ROUND(C28*E28,0)</f>
        <v>2492</v>
      </c>
      <c r="G28" s="317" t="s">
        <v>1747</v>
      </c>
    </row>
    <row r="29" spans="1:7" x14ac:dyDescent="0.25">
      <c r="A29" s="330" t="s">
        <v>1745</v>
      </c>
      <c r="B29" s="331" t="s">
        <v>1748</v>
      </c>
      <c r="C29" s="336">
        <v>1</v>
      </c>
      <c r="D29" s="333" t="s">
        <v>19</v>
      </c>
      <c r="E29" s="324">
        <v>600</v>
      </c>
      <c r="F29" s="335">
        <f t="shared" si="0"/>
        <v>600</v>
      </c>
      <c r="G29" s="317" t="s">
        <v>1749</v>
      </c>
    </row>
    <row r="30" spans="1:7" ht="25.5" x14ac:dyDescent="0.25">
      <c r="A30" s="330" t="s">
        <v>1750</v>
      </c>
      <c r="B30" s="331" t="s">
        <v>1751</v>
      </c>
      <c r="C30" s="332">
        <f>$E$7</f>
        <v>11.076923076923077</v>
      </c>
      <c r="D30" s="333" t="s">
        <v>1737</v>
      </c>
      <c r="E30" s="324">
        <v>275</v>
      </c>
      <c r="F30" s="335">
        <f t="shared" si="0"/>
        <v>3046</v>
      </c>
      <c r="G30" s="317" t="s">
        <v>1752</v>
      </c>
    </row>
    <row r="31" spans="1:7" ht="25.5" x14ac:dyDescent="0.25">
      <c r="A31" s="330" t="s">
        <v>1753</v>
      </c>
      <c r="B31" s="331" t="s">
        <v>1754</v>
      </c>
      <c r="C31" s="336">
        <v>1</v>
      </c>
      <c r="D31" s="333" t="s">
        <v>19</v>
      </c>
      <c r="E31" s="324">
        <v>1500</v>
      </c>
      <c r="F31" s="335">
        <f t="shared" si="0"/>
        <v>1500</v>
      </c>
      <c r="G31" s="317" t="s">
        <v>1755</v>
      </c>
    </row>
    <row r="32" spans="1:7" ht="38.25" x14ac:dyDescent="0.25">
      <c r="A32" s="330" t="s">
        <v>1756</v>
      </c>
      <c r="B32" s="331" t="s">
        <v>1757</v>
      </c>
      <c r="C32" s="336">
        <v>1</v>
      </c>
      <c r="D32" s="333" t="s">
        <v>19</v>
      </c>
      <c r="E32" s="324">
        <v>0</v>
      </c>
      <c r="F32" s="335">
        <f t="shared" si="0"/>
        <v>0</v>
      </c>
      <c r="G32" s="317" t="s">
        <v>1758</v>
      </c>
    </row>
    <row r="33" spans="1:7" x14ac:dyDescent="0.25">
      <c r="A33" s="330" t="s">
        <v>1759</v>
      </c>
      <c r="B33" s="331" t="s">
        <v>1760</v>
      </c>
      <c r="C33" s="336">
        <v>1</v>
      </c>
      <c r="D33" s="333" t="s">
        <v>19</v>
      </c>
      <c r="E33" s="324">
        <v>0</v>
      </c>
      <c r="F33" s="335">
        <f t="shared" si="0"/>
        <v>0</v>
      </c>
      <c r="G33" s="317" t="s">
        <v>1761</v>
      </c>
    </row>
    <row r="34" spans="1:7" ht="25.5" x14ac:dyDescent="0.25">
      <c r="A34" s="330" t="s">
        <v>1762</v>
      </c>
      <c r="B34" s="331" t="s">
        <v>1763</v>
      </c>
      <c r="C34" s="336">
        <v>1</v>
      </c>
      <c r="D34" s="333" t="s">
        <v>19</v>
      </c>
      <c r="E34" s="324">
        <v>4500</v>
      </c>
      <c r="F34" s="335">
        <f t="shared" si="0"/>
        <v>4500</v>
      </c>
      <c r="G34" s="317" t="s">
        <v>1764</v>
      </c>
    </row>
    <row r="35" spans="1:7" ht="25.5" x14ac:dyDescent="0.25">
      <c r="A35" s="330" t="s">
        <v>1765</v>
      </c>
      <c r="B35" s="331" t="s">
        <v>1766</v>
      </c>
      <c r="C35" s="336">
        <v>1</v>
      </c>
      <c r="D35" s="333" t="s">
        <v>19</v>
      </c>
      <c r="E35" s="324">
        <v>4000</v>
      </c>
      <c r="F35" s="335">
        <f t="shared" si="0"/>
        <v>4000</v>
      </c>
      <c r="G35" s="317" t="s">
        <v>1767</v>
      </c>
    </row>
    <row r="36" spans="1:7" x14ac:dyDescent="0.25">
      <c r="B36" s="314" t="s">
        <v>1768</v>
      </c>
      <c r="F36" s="337">
        <f>SUM(F28:F35)</f>
        <v>16138</v>
      </c>
    </row>
    <row r="38" spans="1:7" x14ac:dyDescent="0.25">
      <c r="A38" s="328" t="s">
        <v>1769</v>
      </c>
      <c r="B38" s="328" t="s">
        <v>1770</v>
      </c>
      <c r="C38" s="329"/>
      <c r="D38" s="329"/>
      <c r="E38" s="329"/>
      <c r="F38" s="329"/>
      <c r="G38" s="329"/>
    </row>
    <row r="39" spans="1:7" ht="25.5" x14ac:dyDescent="0.25">
      <c r="A39" s="330" t="s">
        <v>1771</v>
      </c>
      <c r="B39" s="331" t="s">
        <v>1772</v>
      </c>
      <c r="C39" s="336">
        <v>1</v>
      </c>
      <c r="D39" s="333" t="s">
        <v>19</v>
      </c>
      <c r="E39" s="324"/>
      <c r="F39" s="335">
        <f>ROUND(C39*E39,0)</f>
        <v>0</v>
      </c>
      <c r="G39" s="317" t="s">
        <v>1773</v>
      </c>
    </row>
    <row r="40" spans="1:7" x14ac:dyDescent="0.25">
      <c r="B40" s="314" t="s">
        <v>1774</v>
      </c>
      <c r="F40" s="337">
        <f>SUM(F39:F39)</f>
        <v>0</v>
      </c>
    </row>
    <row r="42" spans="1:7" x14ac:dyDescent="0.25">
      <c r="A42" s="328" t="s">
        <v>1775</v>
      </c>
      <c r="B42" s="328" t="s">
        <v>1776</v>
      </c>
      <c r="C42" s="329"/>
      <c r="D42" s="329"/>
      <c r="E42" s="329"/>
      <c r="F42" s="329"/>
      <c r="G42" s="329"/>
    </row>
    <row r="43" spans="1:7" ht="51" x14ac:dyDescent="0.25">
      <c r="A43" s="330" t="s">
        <v>1777</v>
      </c>
      <c r="B43" s="331" t="s">
        <v>1778</v>
      </c>
      <c r="C43" s="336">
        <v>12</v>
      </c>
      <c r="D43" s="333" t="s">
        <v>26</v>
      </c>
      <c r="E43" s="324">
        <v>950</v>
      </c>
      <c r="F43" s="335">
        <f>ROUND(C43*E43,0)</f>
        <v>11400</v>
      </c>
      <c r="G43" s="317" t="s">
        <v>1779</v>
      </c>
    </row>
    <row r="44" spans="1:7" x14ac:dyDescent="0.25">
      <c r="A44" s="330" t="s">
        <v>1780</v>
      </c>
      <c r="B44" s="331" t="s">
        <v>1781</v>
      </c>
      <c r="C44" s="332">
        <f>$E$6*$E$14</f>
        <v>384</v>
      </c>
      <c r="D44" s="333" t="s">
        <v>1782</v>
      </c>
      <c r="E44" s="334">
        <v>45</v>
      </c>
      <c r="F44" s="335">
        <f>ROUND(C44*E44,0)</f>
        <v>17280</v>
      </c>
      <c r="G44" s="317" t="s">
        <v>1783</v>
      </c>
    </row>
    <row r="45" spans="1:7" x14ac:dyDescent="0.25">
      <c r="A45" s="330" t="s">
        <v>1784</v>
      </c>
      <c r="B45" s="331" t="s">
        <v>1785</v>
      </c>
      <c r="C45" s="336">
        <v>0</v>
      </c>
      <c r="D45" s="333" t="s">
        <v>19</v>
      </c>
      <c r="E45" s="324">
        <v>6000</v>
      </c>
      <c r="F45" s="335">
        <f>ROUND(C45*E45,0)</f>
        <v>0</v>
      </c>
      <c r="G45" s="317" t="s">
        <v>1911</v>
      </c>
    </row>
    <row r="46" spans="1:7" x14ac:dyDescent="0.25">
      <c r="B46" s="314" t="s">
        <v>1786</v>
      </c>
      <c r="F46" s="337">
        <f>SUM(F43:F45)</f>
        <v>28680</v>
      </c>
    </row>
    <row r="48" spans="1:7" ht="15.75" thickBot="1" x14ac:dyDescent="0.3">
      <c r="A48" s="338"/>
      <c r="B48" s="339" t="s">
        <v>1787</v>
      </c>
      <c r="C48" s="338"/>
      <c r="D48" s="338"/>
      <c r="E48" s="338"/>
      <c r="F48" s="340">
        <f>F25+F36+F40+F46</f>
        <v>286450</v>
      </c>
      <c r="G48" s="338"/>
    </row>
    <row r="50" spans="1:7" x14ac:dyDescent="0.25">
      <c r="A50" s="314" t="s">
        <v>1788</v>
      </c>
    </row>
    <row r="51" spans="1:7" x14ac:dyDescent="0.25">
      <c r="B51" s="315" t="s">
        <v>1789</v>
      </c>
      <c r="F51" s="335">
        <f>F48/$E$7</f>
        <v>25860.069444444445</v>
      </c>
      <c r="G51" s="317"/>
    </row>
    <row r="52" spans="1:7" x14ac:dyDescent="0.25">
      <c r="B52" s="315" t="s">
        <v>1790</v>
      </c>
      <c r="F52" s="341">
        <f>F48/$E$15</f>
        <v>6.9291243347847115E-2</v>
      </c>
      <c r="G52" s="317" t="s">
        <v>1791</v>
      </c>
    </row>
    <row r="53" spans="1:7" x14ac:dyDescent="0.25">
      <c r="B53" s="315" t="str">
        <f>TEXT($E$16,"0.0%")&amp;" General Conditions Carried in the Estimate"</f>
        <v>7.5% General Conditions Carried in the Estimate</v>
      </c>
      <c r="F53" s="335">
        <f>$E$15*$E$16</f>
        <v>310050</v>
      </c>
      <c r="G53" s="317"/>
    </row>
    <row r="54" spans="1:7" x14ac:dyDescent="0.25">
      <c r="B54" s="315" t="s">
        <v>1848</v>
      </c>
      <c r="F54" s="335">
        <f>F48-$E$15*$E$16</f>
        <v>-23600</v>
      </c>
      <c r="G54" s="317"/>
    </row>
    <row r="55" spans="1:7" x14ac:dyDescent="0.25">
      <c r="B55" s="315" t="s">
        <v>1792</v>
      </c>
      <c r="F55" s="335">
        <f>(E20*$E$11+E21*$E$12+E44*$E$14)*52/12+E23+E28+E30</f>
        <v>20485</v>
      </c>
      <c r="G55" s="317" t="s">
        <v>1793</v>
      </c>
    </row>
    <row r="57" spans="1:7" x14ac:dyDescent="0.25">
      <c r="A57" s="314" t="s">
        <v>1794</v>
      </c>
    </row>
    <row r="58" spans="1:7" x14ac:dyDescent="0.25">
      <c r="B58" s="342" t="s">
        <v>1795</v>
      </c>
      <c r="C58" s="342"/>
      <c r="D58" s="342"/>
      <c r="E58" s="342"/>
      <c r="F58" s="342"/>
      <c r="G58" s="317" t="s">
        <v>1796</v>
      </c>
    </row>
    <row r="59" spans="1:7" x14ac:dyDescent="0.25">
      <c r="B59" s="342" t="s">
        <v>1797</v>
      </c>
      <c r="C59" s="342"/>
      <c r="D59" s="342"/>
      <c r="E59" s="342"/>
      <c r="F59" s="342"/>
      <c r="G59" s="317" t="s">
        <v>1798</v>
      </c>
    </row>
    <row r="60" spans="1:7" x14ac:dyDescent="0.25">
      <c r="B60" s="342" t="s">
        <v>1799</v>
      </c>
      <c r="C60" s="342"/>
      <c r="D60" s="342"/>
      <c r="E60" s="342"/>
      <c r="F60" s="342"/>
      <c r="G60" s="317" t="s">
        <v>1800</v>
      </c>
    </row>
    <row r="61" spans="1:7" x14ac:dyDescent="0.25">
      <c r="B61" s="342" t="s">
        <v>1801</v>
      </c>
      <c r="C61" s="342"/>
      <c r="D61" s="342"/>
      <c r="E61" s="342"/>
      <c r="F61" s="342"/>
      <c r="G61" s="317" t="s">
        <v>1802</v>
      </c>
    </row>
    <row r="62" spans="1:7" x14ac:dyDescent="0.25">
      <c r="B62" s="342" t="s">
        <v>1803</v>
      </c>
      <c r="C62" s="342"/>
      <c r="D62" s="342"/>
      <c r="E62" s="342"/>
      <c r="F62" s="342"/>
      <c r="G62" s="317" t="s">
        <v>1804</v>
      </c>
    </row>
    <row r="63" spans="1:7" x14ac:dyDescent="0.25">
      <c r="B63" s="342" t="s">
        <v>1805</v>
      </c>
      <c r="C63" s="342"/>
      <c r="D63" s="342"/>
      <c r="E63" s="342"/>
      <c r="F63" s="342"/>
      <c r="G63" s="317" t="s">
        <v>1806</v>
      </c>
    </row>
    <row r="64" spans="1:7" x14ac:dyDescent="0.25">
      <c r="B64" s="342" t="s">
        <v>1807</v>
      </c>
      <c r="C64" s="342"/>
      <c r="D64" s="342"/>
      <c r="E64" s="342"/>
      <c r="F64" s="342"/>
      <c r="G64" s="317" t="s">
        <v>1808</v>
      </c>
    </row>
    <row r="65" spans="1:7" x14ac:dyDescent="0.25">
      <c r="B65" s="342" t="s">
        <v>1809</v>
      </c>
      <c r="C65" s="342"/>
      <c r="D65" s="342"/>
      <c r="E65" s="342"/>
      <c r="F65" s="342"/>
      <c r="G65" s="317" t="s">
        <v>1810</v>
      </c>
    </row>
    <row r="66" spans="1:7" x14ac:dyDescent="0.25">
      <c r="B66" s="342" t="s">
        <v>1912</v>
      </c>
      <c r="C66" s="342"/>
      <c r="D66" s="342"/>
      <c r="E66" s="342"/>
      <c r="F66" s="342"/>
      <c r="G66" s="317" t="s">
        <v>1913</v>
      </c>
    </row>
    <row r="67" spans="1:7" x14ac:dyDescent="0.25">
      <c r="B67" s="342" t="s">
        <v>1811</v>
      </c>
      <c r="C67" s="342"/>
      <c r="D67" s="342"/>
      <c r="E67" s="342"/>
      <c r="F67" s="342"/>
      <c r="G67" s="317" t="s">
        <v>1812</v>
      </c>
    </row>
    <row r="68" spans="1:7" x14ac:dyDescent="0.25">
      <c r="B68" s="342" t="s">
        <v>1813</v>
      </c>
      <c r="C68" s="342"/>
      <c r="D68" s="342"/>
      <c r="E68" s="342"/>
      <c r="F68" s="342"/>
      <c r="G68" s="317" t="s">
        <v>1814</v>
      </c>
    </row>
    <row r="69" spans="1:7" x14ac:dyDescent="0.25">
      <c r="B69" s="342" t="s">
        <v>1815</v>
      </c>
      <c r="C69" s="342"/>
      <c r="D69" s="342"/>
      <c r="E69" s="342"/>
      <c r="F69" s="342"/>
      <c r="G69" s="317" t="s">
        <v>1816</v>
      </c>
    </row>
    <row r="71" spans="1:7" x14ac:dyDescent="0.25">
      <c r="A71" s="314" t="s">
        <v>1817</v>
      </c>
    </row>
    <row r="72" spans="1:7" x14ac:dyDescent="0.25">
      <c r="B72" s="342" t="s">
        <v>1818</v>
      </c>
      <c r="C72" s="342"/>
      <c r="D72" s="342"/>
      <c r="E72" s="342"/>
      <c r="F72" s="342"/>
      <c r="G72" s="317" t="s">
        <v>1819</v>
      </c>
    </row>
    <row r="73" spans="1:7" ht="25.5" x14ac:dyDescent="0.25">
      <c r="B73" s="342" t="s">
        <v>1820</v>
      </c>
      <c r="C73" s="342"/>
      <c r="D73" s="342"/>
      <c r="E73" s="342"/>
      <c r="F73" s="342"/>
      <c r="G73" s="317" t="s">
        <v>1821</v>
      </c>
    </row>
    <row r="74" spans="1:7" x14ac:dyDescent="0.25">
      <c r="B74" s="342" t="s">
        <v>1822</v>
      </c>
      <c r="C74" s="342"/>
      <c r="D74" s="342"/>
      <c r="E74" s="342"/>
      <c r="F74" s="342"/>
      <c r="G74" s="317" t="s">
        <v>1819</v>
      </c>
    </row>
    <row r="75" spans="1:7" x14ac:dyDescent="0.25">
      <c r="B75" s="342" t="s">
        <v>1823</v>
      </c>
      <c r="C75" s="342"/>
      <c r="D75" s="342"/>
      <c r="E75" s="342"/>
      <c r="F75" s="342"/>
      <c r="G75" s="317" t="s">
        <v>1819</v>
      </c>
    </row>
    <row r="76" spans="1:7" ht="25.5" x14ac:dyDescent="0.25">
      <c r="B76" s="342" t="s">
        <v>1824</v>
      </c>
      <c r="C76" s="342"/>
      <c r="D76" s="342"/>
      <c r="E76" s="342"/>
      <c r="F76" s="342"/>
      <c r="G76" s="317" t="s">
        <v>1825</v>
      </c>
    </row>
    <row r="77" spans="1:7" x14ac:dyDescent="0.25">
      <c r="B77" s="342" t="s">
        <v>1826</v>
      </c>
      <c r="C77" s="342"/>
      <c r="D77" s="342"/>
      <c r="E77" s="342"/>
      <c r="F77" s="342"/>
      <c r="G77" s="317" t="s">
        <v>1827</v>
      </c>
    </row>
    <row r="79" spans="1:7" x14ac:dyDescent="0.25">
      <c r="A79" s="314" t="s">
        <v>1828</v>
      </c>
    </row>
    <row r="80" spans="1:7" x14ac:dyDescent="0.25">
      <c r="B80" s="343" t="s">
        <v>1829</v>
      </c>
      <c r="C80" s="343"/>
      <c r="D80" s="343"/>
      <c r="E80" s="343"/>
      <c r="F80" s="343"/>
      <c r="G80" s="343"/>
    </row>
    <row r="81" spans="2:7" x14ac:dyDescent="0.25">
      <c r="B81" s="343" t="s">
        <v>1830</v>
      </c>
      <c r="C81" s="343"/>
      <c r="D81" s="343"/>
      <c r="E81" s="343"/>
      <c r="F81" s="343"/>
      <c r="G81" s="343"/>
    </row>
    <row r="82" spans="2:7" x14ac:dyDescent="0.25">
      <c r="B82" s="343" t="s">
        <v>1831</v>
      </c>
      <c r="C82" s="343"/>
      <c r="D82" s="343"/>
      <c r="E82" s="343"/>
      <c r="F82" s="343"/>
      <c r="G82" s="343"/>
    </row>
    <row r="83" spans="2:7" x14ac:dyDescent="0.25">
      <c r="B83" s="343" t="s">
        <v>1832</v>
      </c>
      <c r="C83" s="343"/>
      <c r="D83" s="343"/>
      <c r="E83" s="343"/>
      <c r="F83" s="343"/>
      <c r="G83" s="343"/>
    </row>
    <row r="84" spans="2:7" x14ac:dyDescent="0.25">
      <c r="B84" s="343" t="s">
        <v>1833</v>
      </c>
      <c r="C84" s="343"/>
      <c r="D84" s="343"/>
      <c r="E84" s="343"/>
      <c r="F84" s="343"/>
      <c r="G84" s="343"/>
    </row>
  </sheetData>
  <mergeCells count="23">
    <mergeCell ref="B80:G80"/>
    <mergeCell ref="B81:G81"/>
    <mergeCell ref="B82:G82"/>
    <mergeCell ref="B83:G83"/>
    <mergeCell ref="B84:G84"/>
    <mergeCell ref="B72:F72"/>
    <mergeCell ref="B73:F73"/>
    <mergeCell ref="B74:F74"/>
    <mergeCell ref="B75:F75"/>
    <mergeCell ref="B76:F76"/>
    <mergeCell ref="B77:F77"/>
    <mergeCell ref="B64:F64"/>
    <mergeCell ref="B65:F65"/>
    <mergeCell ref="B66:F66"/>
    <mergeCell ref="B67:F67"/>
    <mergeCell ref="B68:F68"/>
    <mergeCell ref="B69:F69"/>
    <mergeCell ref="B58:F58"/>
    <mergeCell ref="B59:F59"/>
    <mergeCell ref="B60:F60"/>
    <mergeCell ref="B61:F61"/>
    <mergeCell ref="B62:F62"/>
    <mergeCell ref="B63:F63"/>
  </mergeCells>
  <pageMargins left="0.75" right="0.75" top="1" bottom="1" header="0.511811023622047" footer="0.511811023622047"/>
  <pageSetup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54"/>
  <sheetViews>
    <sheetView zoomScaleNormal="100" workbookViewId="0">
      <pane ySplit="4" topLeftCell="A20" activePane="bottomLeft" state="frozen"/>
      <selection pane="bottomLeft" activeCell="D62" sqref="D62"/>
    </sheetView>
  </sheetViews>
  <sheetFormatPr defaultColWidth="8.7109375" defaultRowHeight="15" x14ac:dyDescent="0.25"/>
  <cols>
    <col min="1" max="1" width="8" customWidth="1"/>
    <col min="2" max="2" width="10" customWidth="1"/>
    <col min="3" max="3" width="60" customWidth="1"/>
    <col min="4" max="4" width="7" customWidth="1"/>
    <col min="5" max="5" width="6" customWidth="1"/>
    <col min="6" max="7" width="11" customWidth="1"/>
    <col min="8" max="10" width="12" customWidth="1"/>
    <col min="11" max="11" width="70" customWidth="1"/>
  </cols>
  <sheetData>
    <row r="1" spans="1:11" ht="15.75" x14ac:dyDescent="0.25">
      <c r="A1" s="76" t="s">
        <v>517</v>
      </c>
    </row>
    <row r="2" spans="1:11" x14ac:dyDescent="0.25">
      <c r="A2" t="s">
        <v>518</v>
      </c>
    </row>
    <row r="4" spans="1:11" ht="28.5" x14ac:dyDescent="0.25">
      <c r="A4" s="77" t="s">
        <v>519</v>
      </c>
      <c r="B4" s="77" t="s">
        <v>6</v>
      </c>
      <c r="C4" s="77" t="s">
        <v>7</v>
      </c>
      <c r="D4" s="77" t="s">
        <v>8</v>
      </c>
      <c r="E4" s="77" t="s">
        <v>9</v>
      </c>
      <c r="F4" s="77" t="s">
        <v>520</v>
      </c>
      <c r="G4" s="77" t="s">
        <v>521</v>
      </c>
      <c r="H4" s="77" t="s">
        <v>522</v>
      </c>
      <c r="I4" s="77" t="s">
        <v>523</v>
      </c>
      <c r="J4" s="77" t="s">
        <v>524</v>
      </c>
      <c r="K4" s="77" t="s">
        <v>525</v>
      </c>
    </row>
    <row r="5" spans="1:11" x14ac:dyDescent="0.25">
      <c r="A5" s="78" t="s">
        <v>526</v>
      </c>
      <c r="B5" s="79"/>
      <c r="C5" s="79"/>
      <c r="D5" s="79"/>
      <c r="E5" s="79"/>
      <c r="F5" s="79"/>
      <c r="G5" s="79"/>
      <c r="H5" s="79"/>
      <c r="I5" s="79"/>
      <c r="J5" s="79"/>
      <c r="K5" s="79"/>
    </row>
    <row r="6" spans="1:11" ht="30" x14ac:dyDescent="0.25">
      <c r="A6" s="80">
        <v>364</v>
      </c>
      <c r="B6" s="80" t="s">
        <v>351</v>
      </c>
      <c r="C6" s="80" t="s">
        <v>527</v>
      </c>
      <c r="D6" s="81">
        <f>Estimate!C391</f>
        <v>1</v>
      </c>
      <c r="E6" s="80" t="s">
        <v>19</v>
      </c>
      <c r="F6" s="82">
        <v>4500</v>
      </c>
      <c r="G6" s="82">
        <v>7500</v>
      </c>
      <c r="H6" s="82">
        <f t="shared" ref="H6:H36" si="0">D6*F6</f>
        <v>4500</v>
      </c>
      <c r="I6" s="82">
        <f t="shared" ref="I6:I36" si="1">D6*G6</f>
        <v>7500</v>
      </c>
      <c r="J6" s="82">
        <f t="shared" ref="J6:J36" si="2">H6+I6</f>
        <v>12000</v>
      </c>
      <c r="K6" s="80" t="s">
        <v>528</v>
      </c>
    </row>
    <row r="7" spans="1:11" ht="45" x14ac:dyDescent="0.25">
      <c r="A7" s="80">
        <v>365</v>
      </c>
      <c r="B7" s="80" t="s">
        <v>351</v>
      </c>
      <c r="C7" s="80" t="s">
        <v>529</v>
      </c>
      <c r="D7" s="81">
        <f>Estimate!C393</f>
        <v>60</v>
      </c>
      <c r="E7" s="80" t="s">
        <v>26</v>
      </c>
      <c r="F7" s="82">
        <v>15</v>
      </c>
      <c r="G7" s="82">
        <v>95</v>
      </c>
      <c r="H7" s="82">
        <f t="shared" si="0"/>
        <v>900</v>
      </c>
      <c r="I7" s="82">
        <f t="shared" si="1"/>
        <v>5700</v>
      </c>
      <c r="J7" s="82">
        <f t="shared" si="2"/>
        <v>6600</v>
      </c>
      <c r="K7" s="80" t="s">
        <v>530</v>
      </c>
    </row>
    <row r="8" spans="1:11" ht="45" x14ac:dyDescent="0.25">
      <c r="A8" s="80">
        <v>366</v>
      </c>
      <c r="B8" s="80" t="s">
        <v>351</v>
      </c>
      <c r="C8" s="80" t="s">
        <v>531</v>
      </c>
      <c r="D8" s="81">
        <f>Estimate!C394</f>
        <v>30</v>
      </c>
      <c r="E8" s="80" t="s">
        <v>26</v>
      </c>
      <c r="F8" s="82">
        <v>150</v>
      </c>
      <c r="G8" s="82">
        <v>300</v>
      </c>
      <c r="H8" s="82">
        <f t="shared" si="0"/>
        <v>4500</v>
      </c>
      <c r="I8" s="82">
        <f t="shared" si="1"/>
        <v>9000</v>
      </c>
      <c r="J8" s="82">
        <f t="shared" si="2"/>
        <v>13500</v>
      </c>
      <c r="K8" s="80" t="s">
        <v>532</v>
      </c>
    </row>
    <row r="9" spans="1:11" ht="45" x14ac:dyDescent="0.25">
      <c r="A9" s="80">
        <v>367</v>
      </c>
      <c r="B9" s="80" t="s">
        <v>351</v>
      </c>
      <c r="C9" s="80" t="s">
        <v>533</v>
      </c>
      <c r="D9" s="81">
        <f>Estimate!C395</f>
        <v>1</v>
      </c>
      <c r="E9" s="80" t="s">
        <v>19</v>
      </c>
      <c r="F9" s="82">
        <v>2300</v>
      </c>
      <c r="G9" s="82">
        <v>5200</v>
      </c>
      <c r="H9" s="82">
        <f t="shared" si="0"/>
        <v>2300</v>
      </c>
      <c r="I9" s="82">
        <f t="shared" si="1"/>
        <v>5200</v>
      </c>
      <c r="J9" s="82">
        <f t="shared" si="2"/>
        <v>7500</v>
      </c>
      <c r="K9" s="80" t="s">
        <v>534</v>
      </c>
    </row>
    <row r="10" spans="1:11" ht="45" x14ac:dyDescent="0.25">
      <c r="A10" s="80">
        <v>370</v>
      </c>
      <c r="B10" s="80" t="s">
        <v>351</v>
      </c>
      <c r="C10" s="80" t="s">
        <v>535</v>
      </c>
      <c r="D10" s="81">
        <f>Estimate!C398</f>
        <v>1</v>
      </c>
      <c r="E10" s="80" t="s">
        <v>19</v>
      </c>
      <c r="F10" s="82">
        <v>600</v>
      </c>
      <c r="G10" s="82">
        <v>1900</v>
      </c>
      <c r="H10" s="82">
        <f t="shared" si="0"/>
        <v>600</v>
      </c>
      <c r="I10" s="82">
        <f t="shared" si="1"/>
        <v>1900</v>
      </c>
      <c r="J10" s="82">
        <f t="shared" si="2"/>
        <v>2500</v>
      </c>
      <c r="K10" s="80" t="s">
        <v>536</v>
      </c>
    </row>
    <row r="11" spans="1:11" ht="30" x14ac:dyDescent="0.25">
      <c r="A11" s="80">
        <v>372</v>
      </c>
      <c r="B11" s="80" t="s">
        <v>360</v>
      </c>
      <c r="C11" s="80" t="s">
        <v>537</v>
      </c>
      <c r="D11" s="81">
        <f>Estimate!C400</f>
        <v>65</v>
      </c>
      <c r="E11" s="80" t="s">
        <v>26</v>
      </c>
      <c r="F11" s="82">
        <v>0</v>
      </c>
      <c r="G11" s="82">
        <v>55</v>
      </c>
      <c r="H11" s="82">
        <f t="shared" si="0"/>
        <v>0</v>
      </c>
      <c r="I11" s="82">
        <f t="shared" si="1"/>
        <v>3575</v>
      </c>
      <c r="J11" s="82">
        <f t="shared" si="2"/>
        <v>3575</v>
      </c>
      <c r="K11" s="80" t="s">
        <v>538</v>
      </c>
    </row>
    <row r="12" spans="1:11" ht="45" x14ac:dyDescent="0.25">
      <c r="A12" s="80">
        <v>373</v>
      </c>
      <c r="B12" s="80" t="s">
        <v>360</v>
      </c>
      <c r="C12" s="80" t="s">
        <v>539</v>
      </c>
      <c r="D12" s="81">
        <f>Estimate!C401</f>
        <v>1</v>
      </c>
      <c r="E12" s="80" t="s">
        <v>19</v>
      </c>
      <c r="F12" s="82">
        <v>0</v>
      </c>
      <c r="G12" s="82">
        <v>800</v>
      </c>
      <c r="H12" s="82">
        <f t="shared" si="0"/>
        <v>0</v>
      </c>
      <c r="I12" s="82">
        <f t="shared" si="1"/>
        <v>800</v>
      </c>
      <c r="J12" s="82">
        <f t="shared" si="2"/>
        <v>800</v>
      </c>
      <c r="K12" s="80" t="s">
        <v>540</v>
      </c>
    </row>
    <row r="13" spans="1:11" ht="45" x14ac:dyDescent="0.25">
      <c r="A13" s="80">
        <v>375</v>
      </c>
      <c r="B13" s="80" t="s">
        <v>360</v>
      </c>
      <c r="C13" s="80" t="s">
        <v>541</v>
      </c>
      <c r="D13" s="81">
        <f>Estimate!C403</f>
        <v>12</v>
      </c>
      <c r="E13" s="80" t="s">
        <v>26</v>
      </c>
      <c r="F13" s="82">
        <v>225</v>
      </c>
      <c r="G13" s="82">
        <v>95</v>
      </c>
      <c r="H13" s="82">
        <f t="shared" si="0"/>
        <v>2700</v>
      </c>
      <c r="I13" s="82">
        <f t="shared" si="1"/>
        <v>1140</v>
      </c>
      <c r="J13" s="82">
        <f t="shared" si="2"/>
        <v>3840</v>
      </c>
      <c r="K13" s="80" t="s">
        <v>542</v>
      </c>
    </row>
    <row r="14" spans="1:11" ht="30" x14ac:dyDescent="0.25">
      <c r="A14" s="80">
        <v>376</v>
      </c>
      <c r="B14" s="80" t="s">
        <v>360</v>
      </c>
      <c r="C14" s="80" t="s">
        <v>543</v>
      </c>
      <c r="D14" s="81">
        <f>Estimate!C404</f>
        <v>3</v>
      </c>
      <c r="E14" s="80" t="s">
        <v>26</v>
      </c>
      <c r="F14" s="82">
        <v>85</v>
      </c>
      <c r="G14" s="82">
        <v>35</v>
      </c>
      <c r="H14" s="82">
        <f t="shared" si="0"/>
        <v>255</v>
      </c>
      <c r="I14" s="82">
        <f t="shared" si="1"/>
        <v>105</v>
      </c>
      <c r="J14" s="82">
        <f t="shared" si="2"/>
        <v>360</v>
      </c>
      <c r="K14" s="80" t="s">
        <v>544</v>
      </c>
    </row>
    <row r="15" spans="1:11" ht="45" x14ac:dyDescent="0.25">
      <c r="A15" s="80">
        <v>378</v>
      </c>
      <c r="B15" s="80" t="s">
        <v>360</v>
      </c>
      <c r="C15" s="80" t="s">
        <v>545</v>
      </c>
      <c r="D15" s="81">
        <f>Estimate!C406</f>
        <v>1</v>
      </c>
      <c r="E15" s="80" t="s">
        <v>19</v>
      </c>
      <c r="F15" s="82">
        <v>0</v>
      </c>
      <c r="G15" s="82">
        <v>8250</v>
      </c>
      <c r="H15" s="82">
        <f t="shared" si="0"/>
        <v>0</v>
      </c>
      <c r="I15" s="82">
        <f t="shared" si="1"/>
        <v>8250</v>
      </c>
      <c r="J15" s="82">
        <f t="shared" si="2"/>
        <v>8250</v>
      </c>
      <c r="K15" s="80" t="s">
        <v>546</v>
      </c>
    </row>
    <row r="16" spans="1:11" ht="30" x14ac:dyDescent="0.25">
      <c r="A16" s="80">
        <v>379</v>
      </c>
      <c r="B16" s="80" t="s">
        <v>360</v>
      </c>
      <c r="C16" s="80" t="s">
        <v>547</v>
      </c>
      <c r="D16" s="81">
        <f>Estimate!C407</f>
        <v>1</v>
      </c>
      <c r="E16" s="80" t="s">
        <v>19</v>
      </c>
      <c r="F16" s="82">
        <v>1000</v>
      </c>
      <c r="G16" s="82">
        <v>500</v>
      </c>
      <c r="H16" s="82">
        <f t="shared" si="0"/>
        <v>1000</v>
      </c>
      <c r="I16" s="82">
        <f t="shared" si="1"/>
        <v>500</v>
      </c>
      <c r="J16" s="82">
        <f t="shared" si="2"/>
        <v>1500</v>
      </c>
      <c r="K16" s="80" t="s">
        <v>548</v>
      </c>
    </row>
    <row r="17" spans="1:11" ht="45" x14ac:dyDescent="0.25">
      <c r="A17" s="80">
        <v>380</v>
      </c>
      <c r="B17" s="80" t="s">
        <v>369</v>
      </c>
      <c r="C17" s="80" t="s">
        <v>549</v>
      </c>
      <c r="D17" s="81">
        <f>Estimate!C408</f>
        <v>1</v>
      </c>
      <c r="E17" s="80" t="s">
        <v>19</v>
      </c>
      <c r="F17" s="82">
        <v>6500</v>
      </c>
      <c r="G17" s="82">
        <v>7000</v>
      </c>
      <c r="H17" s="82">
        <f t="shared" si="0"/>
        <v>6500</v>
      </c>
      <c r="I17" s="82">
        <f t="shared" si="1"/>
        <v>7000</v>
      </c>
      <c r="J17" s="82">
        <f t="shared" si="2"/>
        <v>13500</v>
      </c>
      <c r="K17" s="80" t="s">
        <v>550</v>
      </c>
    </row>
    <row r="18" spans="1:11" ht="30" x14ac:dyDescent="0.25">
      <c r="A18" s="80">
        <v>381</v>
      </c>
      <c r="B18" s="80" t="s">
        <v>369</v>
      </c>
      <c r="C18" s="80" t="s">
        <v>551</v>
      </c>
      <c r="D18" s="81">
        <f>Estimate!C409</f>
        <v>300</v>
      </c>
      <c r="E18" s="80" t="s">
        <v>21</v>
      </c>
      <c r="F18" s="82">
        <v>6</v>
      </c>
      <c r="G18" s="82">
        <v>7</v>
      </c>
      <c r="H18" s="82">
        <f t="shared" si="0"/>
        <v>1800</v>
      </c>
      <c r="I18" s="82">
        <f t="shared" si="1"/>
        <v>2100</v>
      </c>
      <c r="J18" s="82">
        <f t="shared" si="2"/>
        <v>3900</v>
      </c>
      <c r="K18" s="80" t="s">
        <v>552</v>
      </c>
    </row>
    <row r="19" spans="1:11" ht="45" x14ac:dyDescent="0.25">
      <c r="A19" s="80">
        <v>382</v>
      </c>
      <c r="B19" s="80" t="s">
        <v>372</v>
      </c>
      <c r="C19" s="80" t="s">
        <v>553</v>
      </c>
      <c r="D19" s="81">
        <f>Estimate!C410</f>
        <v>1</v>
      </c>
      <c r="E19" s="80" t="s">
        <v>19</v>
      </c>
      <c r="F19" s="82">
        <v>300</v>
      </c>
      <c r="G19" s="82">
        <v>2100</v>
      </c>
      <c r="H19" s="82">
        <f t="shared" si="0"/>
        <v>300</v>
      </c>
      <c r="I19" s="82">
        <f t="shared" si="1"/>
        <v>2100</v>
      </c>
      <c r="J19" s="82">
        <f t="shared" si="2"/>
        <v>2400</v>
      </c>
      <c r="K19" s="80" t="s">
        <v>554</v>
      </c>
    </row>
    <row r="20" spans="1:11" ht="45" x14ac:dyDescent="0.25">
      <c r="A20" s="80">
        <v>384</v>
      </c>
      <c r="B20" s="80" t="s">
        <v>375</v>
      </c>
      <c r="C20" s="80" t="s">
        <v>555</v>
      </c>
      <c r="D20" s="81">
        <f>Estimate!C412</f>
        <v>1</v>
      </c>
      <c r="E20" s="80" t="s">
        <v>19</v>
      </c>
      <c r="F20" s="82">
        <v>700</v>
      </c>
      <c r="G20" s="82">
        <v>800</v>
      </c>
      <c r="H20" s="82">
        <f t="shared" si="0"/>
        <v>700</v>
      </c>
      <c r="I20" s="82">
        <f t="shared" si="1"/>
        <v>800</v>
      </c>
      <c r="J20" s="82">
        <f t="shared" si="2"/>
        <v>1500</v>
      </c>
      <c r="K20" s="80" t="s">
        <v>556</v>
      </c>
    </row>
    <row r="21" spans="1:11" ht="30" x14ac:dyDescent="0.25">
      <c r="A21" s="80">
        <v>387</v>
      </c>
      <c r="B21" s="80" t="s">
        <v>375</v>
      </c>
      <c r="C21" s="80" t="s">
        <v>557</v>
      </c>
      <c r="D21" s="81">
        <f>Estimate!C416</f>
        <v>2</v>
      </c>
      <c r="E21" s="80" t="s">
        <v>26</v>
      </c>
      <c r="F21" s="82">
        <v>60</v>
      </c>
      <c r="G21" s="82">
        <v>115</v>
      </c>
      <c r="H21" s="82">
        <f t="shared" si="0"/>
        <v>120</v>
      </c>
      <c r="I21" s="82">
        <f t="shared" si="1"/>
        <v>230</v>
      </c>
      <c r="J21" s="82">
        <f t="shared" si="2"/>
        <v>350</v>
      </c>
      <c r="K21" s="80" t="s">
        <v>558</v>
      </c>
    </row>
    <row r="22" spans="1:11" ht="30" x14ac:dyDescent="0.25">
      <c r="A22" s="80">
        <v>388</v>
      </c>
      <c r="B22" s="80" t="s">
        <v>375</v>
      </c>
      <c r="C22" s="80" t="s">
        <v>559</v>
      </c>
      <c r="D22" s="81">
        <f>Estimate!C417</f>
        <v>10</v>
      </c>
      <c r="E22" s="80" t="s">
        <v>26</v>
      </c>
      <c r="F22" s="82">
        <v>25</v>
      </c>
      <c r="G22" s="82">
        <v>10</v>
      </c>
      <c r="H22" s="82">
        <f t="shared" si="0"/>
        <v>250</v>
      </c>
      <c r="I22" s="82">
        <f t="shared" si="1"/>
        <v>100</v>
      </c>
      <c r="J22" s="82">
        <f t="shared" si="2"/>
        <v>350</v>
      </c>
      <c r="K22" s="80" t="s">
        <v>560</v>
      </c>
    </row>
    <row r="23" spans="1:11" ht="45" x14ac:dyDescent="0.25">
      <c r="A23" s="80">
        <v>389</v>
      </c>
      <c r="B23" s="80" t="s">
        <v>383</v>
      </c>
      <c r="C23" s="80" t="s">
        <v>561</v>
      </c>
      <c r="D23" s="81">
        <f>Estimate!C418</f>
        <v>10</v>
      </c>
      <c r="E23" s="80" t="s">
        <v>26</v>
      </c>
      <c r="F23" s="82">
        <v>140</v>
      </c>
      <c r="G23" s="82">
        <v>0</v>
      </c>
      <c r="H23" s="82">
        <f t="shared" si="0"/>
        <v>1400</v>
      </c>
      <c r="I23" s="82">
        <f t="shared" si="1"/>
        <v>0</v>
      </c>
      <c r="J23" s="82">
        <f t="shared" si="2"/>
        <v>1400</v>
      </c>
      <c r="K23" s="80" t="s">
        <v>562</v>
      </c>
    </row>
    <row r="24" spans="1:11" ht="30" x14ac:dyDescent="0.25">
      <c r="A24" s="80">
        <v>390</v>
      </c>
      <c r="B24" s="80" t="s">
        <v>383</v>
      </c>
      <c r="C24" s="80" t="s">
        <v>563</v>
      </c>
      <c r="D24" s="81">
        <f>Estimate!C419</f>
        <v>10</v>
      </c>
      <c r="E24" s="80" t="s">
        <v>26</v>
      </c>
      <c r="F24" s="82">
        <v>0</v>
      </c>
      <c r="G24" s="82">
        <v>165</v>
      </c>
      <c r="H24" s="82">
        <f t="shared" si="0"/>
        <v>0</v>
      </c>
      <c r="I24" s="82">
        <f t="shared" si="1"/>
        <v>1650</v>
      </c>
      <c r="J24" s="82">
        <f t="shared" si="2"/>
        <v>1650</v>
      </c>
      <c r="K24" s="80" t="s">
        <v>564</v>
      </c>
    </row>
    <row r="25" spans="1:11" ht="45" x14ac:dyDescent="0.25">
      <c r="A25" s="80">
        <v>394</v>
      </c>
      <c r="B25" s="80" t="s">
        <v>383</v>
      </c>
      <c r="C25" s="80" t="s">
        <v>565</v>
      </c>
      <c r="D25" s="81">
        <f>Estimate!C423</f>
        <v>80</v>
      </c>
      <c r="E25" s="80" t="s">
        <v>21</v>
      </c>
      <c r="F25" s="82">
        <v>60</v>
      </c>
      <c r="G25" s="82">
        <v>0</v>
      </c>
      <c r="H25" s="82">
        <f t="shared" si="0"/>
        <v>4800</v>
      </c>
      <c r="I25" s="82">
        <f t="shared" si="1"/>
        <v>0</v>
      </c>
      <c r="J25" s="82">
        <f t="shared" si="2"/>
        <v>4800</v>
      </c>
      <c r="K25" s="80" t="s">
        <v>566</v>
      </c>
    </row>
    <row r="26" spans="1:11" ht="30" x14ac:dyDescent="0.25">
      <c r="A26" s="80">
        <v>395</v>
      </c>
      <c r="B26" s="80" t="s">
        <v>383</v>
      </c>
      <c r="C26" s="80" t="s">
        <v>567</v>
      </c>
      <c r="D26" s="81">
        <f>Estimate!C424</f>
        <v>80</v>
      </c>
      <c r="E26" s="80" t="s">
        <v>21</v>
      </c>
      <c r="F26" s="82">
        <v>0</v>
      </c>
      <c r="G26" s="82">
        <v>38</v>
      </c>
      <c r="H26" s="82">
        <f t="shared" si="0"/>
        <v>0</v>
      </c>
      <c r="I26" s="82">
        <f t="shared" si="1"/>
        <v>3040</v>
      </c>
      <c r="J26" s="82">
        <f t="shared" si="2"/>
        <v>3040</v>
      </c>
      <c r="K26" s="80" t="s">
        <v>568</v>
      </c>
    </row>
    <row r="27" spans="1:11" ht="30" x14ac:dyDescent="0.25">
      <c r="A27" s="80">
        <v>398</v>
      </c>
      <c r="B27" s="80" t="s">
        <v>383</v>
      </c>
      <c r="C27" s="80" t="s">
        <v>569</v>
      </c>
      <c r="D27" s="81">
        <f>Estimate!C427</f>
        <v>3</v>
      </c>
      <c r="E27" s="80" t="s">
        <v>26</v>
      </c>
      <c r="F27" s="82">
        <v>0</v>
      </c>
      <c r="G27" s="82">
        <v>125</v>
      </c>
      <c r="H27" s="82">
        <f t="shared" si="0"/>
        <v>0</v>
      </c>
      <c r="I27" s="82">
        <f t="shared" si="1"/>
        <v>375</v>
      </c>
      <c r="J27" s="82">
        <f t="shared" si="2"/>
        <v>375</v>
      </c>
      <c r="K27" s="80" t="s">
        <v>570</v>
      </c>
    </row>
    <row r="28" spans="1:11" ht="30" x14ac:dyDescent="0.25">
      <c r="A28" s="80">
        <v>399</v>
      </c>
      <c r="B28" s="80" t="s">
        <v>383</v>
      </c>
      <c r="C28" s="80" t="s">
        <v>571</v>
      </c>
      <c r="D28" s="81">
        <f>Estimate!C428</f>
        <v>6</v>
      </c>
      <c r="E28" s="80" t="s">
        <v>26</v>
      </c>
      <c r="F28" s="82">
        <v>200</v>
      </c>
      <c r="G28" s="82">
        <v>0</v>
      </c>
      <c r="H28" s="82">
        <f t="shared" si="0"/>
        <v>1200</v>
      </c>
      <c r="I28" s="82">
        <f t="shared" si="1"/>
        <v>0</v>
      </c>
      <c r="J28" s="82">
        <f t="shared" si="2"/>
        <v>1200</v>
      </c>
      <c r="K28" s="80" t="s">
        <v>572</v>
      </c>
    </row>
    <row r="29" spans="1:11" x14ac:dyDescent="0.25">
      <c r="A29" s="80">
        <v>400</v>
      </c>
      <c r="B29" s="80" t="s">
        <v>383</v>
      </c>
      <c r="C29" s="80" t="s">
        <v>573</v>
      </c>
      <c r="D29" s="81">
        <f>Estimate!C429</f>
        <v>6</v>
      </c>
      <c r="E29" s="80" t="s">
        <v>26</v>
      </c>
      <c r="F29" s="82">
        <v>0</v>
      </c>
      <c r="G29" s="82">
        <v>125</v>
      </c>
      <c r="H29" s="82">
        <f t="shared" si="0"/>
        <v>0</v>
      </c>
      <c r="I29" s="82">
        <f t="shared" si="1"/>
        <v>750</v>
      </c>
      <c r="J29" s="82">
        <f t="shared" si="2"/>
        <v>750</v>
      </c>
      <c r="K29" s="80" t="s">
        <v>574</v>
      </c>
    </row>
    <row r="30" spans="1:11" x14ac:dyDescent="0.25">
      <c r="A30" s="80">
        <v>401</v>
      </c>
      <c r="B30" s="80" t="s">
        <v>383</v>
      </c>
      <c r="C30" s="80" t="s">
        <v>575</v>
      </c>
      <c r="D30" s="81">
        <f>Estimate!C430</f>
        <v>5</v>
      </c>
      <c r="E30" s="80" t="s">
        <v>26</v>
      </c>
      <c r="F30" s="82">
        <v>400</v>
      </c>
      <c r="G30" s="82">
        <v>0</v>
      </c>
      <c r="H30" s="82">
        <f t="shared" si="0"/>
        <v>2000</v>
      </c>
      <c r="I30" s="82">
        <f t="shared" si="1"/>
        <v>0</v>
      </c>
      <c r="J30" s="82">
        <f t="shared" si="2"/>
        <v>2000</v>
      </c>
      <c r="K30" s="80" t="s">
        <v>576</v>
      </c>
    </row>
    <row r="31" spans="1:11" x14ac:dyDescent="0.25">
      <c r="A31" s="80">
        <v>403</v>
      </c>
      <c r="B31" s="80" t="s">
        <v>383</v>
      </c>
      <c r="C31" s="80" t="s">
        <v>577</v>
      </c>
      <c r="D31" s="81">
        <f>Estimate!C432</f>
        <v>2</v>
      </c>
      <c r="E31" s="80" t="s">
        <v>26</v>
      </c>
      <c r="F31" s="82">
        <v>400</v>
      </c>
      <c r="G31" s="82">
        <v>0</v>
      </c>
      <c r="H31" s="82">
        <f t="shared" si="0"/>
        <v>800</v>
      </c>
      <c r="I31" s="82">
        <f t="shared" si="1"/>
        <v>0</v>
      </c>
      <c r="J31" s="82">
        <f t="shared" si="2"/>
        <v>800</v>
      </c>
      <c r="K31" s="80" t="s">
        <v>578</v>
      </c>
    </row>
    <row r="32" spans="1:11" x14ac:dyDescent="0.25">
      <c r="A32" s="80">
        <v>404</v>
      </c>
      <c r="B32" s="80" t="s">
        <v>383</v>
      </c>
      <c r="C32" s="80" t="s">
        <v>579</v>
      </c>
      <c r="D32" s="81">
        <f>Estimate!C433</f>
        <v>2</v>
      </c>
      <c r="E32" s="80" t="s">
        <v>26</v>
      </c>
      <c r="F32" s="82">
        <v>0</v>
      </c>
      <c r="G32" s="82">
        <v>300</v>
      </c>
      <c r="H32" s="82">
        <f t="shared" si="0"/>
        <v>0</v>
      </c>
      <c r="I32" s="82">
        <f t="shared" si="1"/>
        <v>600</v>
      </c>
      <c r="J32" s="82">
        <f t="shared" si="2"/>
        <v>600</v>
      </c>
      <c r="K32" s="80" t="s">
        <v>580</v>
      </c>
    </row>
    <row r="33" spans="1:11" ht="45" x14ac:dyDescent="0.25">
      <c r="A33" s="80">
        <v>405</v>
      </c>
      <c r="B33" s="80" t="s">
        <v>383</v>
      </c>
      <c r="C33" s="80" t="s">
        <v>581</v>
      </c>
      <c r="D33" s="81">
        <f>Estimate!C434</f>
        <v>1</v>
      </c>
      <c r="E33" s="80" t="s">
        <v>19</v>
      </c>
      <c r="F33" s="82">
        <v>0</v>
      </c>
      <c r="G33" s="82">
        <v>500</v>
      </c>
      <c r="H33" s="82">
        <f t="shared" si="0"/>
        <v>0</v>
      </c>
      <c r="I33" s="82">
        <f t="shared" si="1"/>
        <v>500</v>
      </c>
      <c r="J33" s="82">
        <f t="shared" si="2"/>
        <v>500</v>
      </c>
      <c r="K33" s="80" t="s">
        <v>582</v>
      </c>
    </row>
    <row r="34" spans="1:11" ht="30" x14ac:dyDescent="0.25">
      <c r="A34" s="80">
        <v>406</v>
      </c>
      <c r="B34" s="80" t="s">
        <v>383</v>
      </c>
      <c r="C34" s="80" t="s">
        <v>583</v>
      </c>
      <c r="D34" s="81">
        <f>Estimate!C435</f>
        <v>1</v>
      </c>
      <c r="E34" s="80" t="s">
        <v>19</v>
      </c>
      <c r="F34" s="82">
        <v>600</v>
      </c>
      <c r="G34" s="82">
        <v>0</v>
      </c>
      <c r="H34" s="82">
        <f t="shared" si="0"/>
        <v>600</v>
      </c>
      <c r="I34" s="82">
        <f t="shared" si="1"/>
        <v>0</v>
      </c>
      <c r="J34" s="82">
        <f t="shared" si="2"/>
        <v>600</v>
      </c>
      <c r="K34" s="80" t="s">
        <v>584</v>
      </c>
    </row>
    <row r="35" spans="1:11" ht="30" x14ac:dyDescent="0.25">
      <c r="A35" s="80">
        <v>407</v>
      </c>
      <c r="B35" s="80" t="s">
        <v>383</v>
      </c>
      <c r="C35" s="80" t="s">
        <v>585</v>
      </c>
      <c r="D35" s="81">
        <f>Estimate!C436</f>
        <v>12</v>
      </c>
      <c r="E35" s="80" t="s">
        <v>26</v>
      </c>
      <c r="F35" s="82">
        <v>150</v>
      </c>
      <c r="G35" s="82">
        <v>75</v>
      </c>
      <c r="H35" s="82">
        <f t="shared" si="0"/>
        <v>1800</v>
      </c>
      <c r="I35" s="82">
        <f t="shared" si="1"/>
        <v>900</v>
      </c>
      <c r="J35" s="82">
        <f t="shared" si="2"/>
        <v>2700</v>
      </c>
      <c r="K35" s="80" t="s">
        <v>586</v>
      </c>
    </row>
    <row r="36" spans="1:11" x14ac:dyDescent="0.25">
      <c r="A36" s="80">
        <v>409</v>
      </c>
      <c r="B36" s="80" t="s">
        <v>402</v>
      </c>
      <c r="C36" s="80" t="s">
        <v>587</v>
      </c>
      <c r="D36" s="81">
        <f>Estimate!C438</f>
        <v>38</v>
      </c>
      <c r="E36" s="80" t="s">
        <v>26</v>
      </c>
      <c r="F36" s="82">
        <v>0</v>
      </c>
      <c r="G36" s="82">
        <v>175</v>
      </c>
      <c r="H36" s="82">
        <f t="shared" si="0"/>
        <v>0</v>
      </c>
      <c r="I36" s="82">
        <f t="shared" si="1"/>
        <v>6650</v>
      </c>
      <c r="J36" s="82">
        <f t="shared" si="2"/>
        <v>6650</v>
      </c>
      <c r="K36" s="80" t="s">
        <v>588</v>
      </c>
    </row>
    <row r="37" spans="1:11" x14ac:dyDescent="0.25">
      <c r="C37" s="83" t="s">
        <v>589</v>
      </c>
      <c r="H37" s="84">
        <f>SUM(H6:H36)</f>
        <v>39025</v>
      </c>
      <c r="I37" s="84">
        <f>SUM(I6:I36)</f>
        <v>70465</v>
      </c>
      <c r="J37" s="84">
        <f>SUM(J6:J36)</f>
        <v>109490</v>
      </c>
    </row>
    <row r="39" spans="1:11" x14ac:dyDescent="0.25">
      <c r="A39" s="78" t="s">
        <v>590</v>
      </c>
      <c r="B39" s="79"/>
      <c r="C39" s="79"/>
      <c r="D39" s="79"/>
      <c r="E39" s="79"/>
      <c r="F39" s="79"/>
      <c r="G39" s="79"/>
      <c r="H39" s="79"/>
      <c r="I39" s="79"/>
      <c r="J39" s="79"/>
      <c r="K39" s="79"/>
    </row>
    <row r="40" spans="1:11" ht="30" x14ac:dyDescent="0.25">
      <c r="A40" s="80">
        <v>509</v>
      </c>
      <c r="B40" s="80" t="s">
        <v>351</v>
      </c>
      <c r="C40" s="80" t="s">
        <v>591</v>
      </c>
      <c r="D40" s="81">
        <f>Estimate!C535</f>
        <v>1</v>
      </c>
      <c r="E40" s="80" t="s">
        <v>19</v>
      </c>
      <c r="F40" s="82">
        <v>0</v>
      </c>
      <c r="G40" s="82">
        <v>1500</v>
      </c>
      <c r="H40" s="82">
        <f>D40*F40</f>
        <v>0</v>
      </c>
      <c r="I40" s="82">
        <f>D40*G40</f>
        <v>1500</v>
      </c>
      <c r="J40" s="82">
        <f>H40+I40</f>
        <v>1500</v>
      </c>
      <c r="K40" s="80" t="s">
        <v>592</v>
      </c>
    </row>
    <row r="41" spans="1:11" ht="30" x14ac:dyDescent="0.25">
      <c r="A41" s="80">
        <v>556</v>
      </c>
      <c r="B41" s="80" t="s">
        <v>351</v>
      </c>
      <c r="C41" s="80" t="s">
        <v>593</v>
      </c>
      <c r="D41" s="81">
        <f>Estimate!C585</f>
        <v>1</v>
      </c>
      <c r="E41" s="80" t="s">
        <v>19</v>
      </c>
      <c r="F41" s="82">
        <v>900</v>
      </c>
      <c r="G41" s="82">
        <v>1300</v>
      </c>
      <c r="H41" s="82">
        <f>D41*F41</f>
        <v>900</v>
      </c>
      <c r="I41" s="82">
        <f>D41*G41</f>
        <v>1300</v>
      </c>
      <c r="J41" s="82">
        <f>H41+I41</f>
        <v>2200</v>
      </c>
      <c r="K41" s="80" t="s">
        <v>594</v>
      </c>
    </row>
    <row r="42" spans="1:11" ht="60" x14ac:dyDescent="0.25">
      <c r="A42" s="80">
        <v>577</v>
      </c>
      <c r="B42" s="80" t="s">
        <v>498</v>
      </c>
      <c r="C42" s="80" t="s">
        <v>595</v>
      </c>
      <c r="D42" s="81">
        <f>Estimate!C608</f>
        <v>1</v>
      </c>
      <c r="E42" s="80" t="s">
        <v>19</v>
      </c>
      <c r="F42" s="82">
        <v>12360</v>
      </c>
      <c r="G42" s="82">
        <v>11490</v>
      </c>
      <c r="H42" s="82">
        <f>D42*F42</f>
        <v>12360</v>
      </c>
      <c r="I42" s="82">
        <f>D42*G42</f>
        <v>11490</v>
      </c>
      <c r="J42" s="82">
        <f>H42+I42</f>
        <v>23850</v>
      </c>
      <c r="K42" s="80" t="s">
        <v>596</v>
      </c>
    </row>
    <row r="43" spans="1:11" ht="45" x14ac:dyDescent="0.25">
      <c r="A43" s="80">
        <v>586</v>
      </c>
      <c r="B43" s="80" t="s">
        <v>500</v>
      </c>
      <c r="C43" s="80" t="s">
        <v>597</v>
      </c>
      <c r="D43" s="81">
        <f>Estimate!C623</f>
        <v>1</v>
      </c>
      <c r="E43" s="80" t="s">
        <v>19</v>
      </c>
      <c r="F43" s="82">
        <v>12500</v>
      </c>
      <c r="G43" s="82">
        <v>4500</v>
      </c>
      <c r="H43" s="82">
        <f>D43*F43</f>
        <v>12500</v>
      </c>
      <c r="I43" s="82">
        <f>D43*G43</f>
        <v>4500</v>
      </c>
      <c r="J43" s="82">
        <f>H43+I43</f>
        <v>17000</v>
      </c>
      <c r="K43" s="80" t="s">
        <v>598</v>
      </c>
    </row>
    <row r="44" spans="1:11" ht="30" x14ac:dyDescent="0.25">
      <c r="A44" s="80">
        <v>595</v>
      </c>
      <c r="B44" s="80" t="s">
        <v>502</v>
      </c>
      <c r="C44" s="80" t="s">
        <v>599</v>
      </c>
      <c r="D44" s="81">
        <f>Estimate!C635</f>
        <v>1</v>
      </c>
      <c r="E44" s="80" t="s">
        <v>19</v>
      </c>
      <c r="F44" s="82">
        <v>11500</v>
      </c>
      <c r="G44" s="82">
        <v>7000</v>
      </c>
      <c r="H44" s="82">
        <f>D44*F44</f>
        <v>11500</v>
      </c>
      <c r="I44" s="82">
        <f>D44*G44</f>
        <v>7000</v>
      </c>
      <c r="J44" s="82">
        <f>H44+I44</f>
        <v>18500</v>
      </c>
      <c r="K44" s="80" t="s">
        <v>600</v>
      </c>
    </row>
    <row r="45" spans="1:11" x14ac:dyDescent="0.25">
      <c r="C45" s="83" t="s">
        <v>601</v>
      </c>
      <c r="H45" s="84">
        <f>SUM(H40:H44)</f>
        <v>37260</v>
      </c>
      <c r="I45" s="84">
        <f>SUM(I40:I44)</f>
        <v>25790</v>
      </c>
      <c r="J45" s="84">
        <f>SUM(J40:J44)</f>
        <v>63050</v>
      </c>
    </row>
    <row r="47" spans="1:11" x14ac:dyDescent="0.25">
      <c r="A47" s="78" t="s">
        <v>602</v>
      </c>
      <c r="B47" s="79"/>
      <c r="C47" s="79"/>
      <c r="D47" s="79"/>
      <c r="E47" s="79"/>
      <c r="F47" s="79"/>
      <c r="G47" s="79"/>
      <c r="H47" s="79"/>
      <c r="I47" s="79"/>
      <c r="J47" s="79"/>
      <c r="K47" s="79"/>
    </row>
    <row r="48" spans="1:11" ht="90" x14ac:dyDescent="0.25">
      <c r="A48" s="80">
        <v>633</v>
      </c>
      <c r="B48" s="80" t="s">
        <v>65</v>
      </c>
      <c r="C48" s="80" t="s">
        <v>603</v>
      </c>
      <c r="D48" s="81">
        <f>Estimate!C682</f>
        <v>150</v>
      </c>
      <c r="E48" s="80" t="s">
        <v>21</v>
      </c>
      <c r="F48" s="82">
        <v>95</v>
      </c>
      <c r="G48" s="82">
        <v>35</v>
      </c>
      <c r="H48" s="82">
        <f>D48*F48</f>
        <v>14250</v>
      </c>
      <c r="I48" s="82">
        <f>D48*G48</f>
        <v>5250</v>
      </c>
      <c r="J48" s="82">
        <f>H48+I48</f>
        <v>19500</v>
      </c>
      <c r="K48" s="80" t="s">
        <v>604</v>
      </c>
    </row>
    <row r="49" spans="1:11" ht="60" x14ac:dyDescent="0.25">
      <c r="A49" s="80">
        <v>634</v>
      </c>
      <c r="B49" s="80" t="s">
        <v>510</v>
      </c>
      <c r="C49" s="80" t="s">
        <v>605</v>
      </c>
      <c r="D49" s="81">
        <f>Estimate!C683</f>
        <v>24</v>
      </c>
      <c r="E49" s="80" t="s">
        <v>26</v>
      </c>
      <c r="F49" s="82">
        <v>1446</v>
      </c>
      <c r="G49" s="82">
        <v>175</v>
      </c>
      <c r="H49" s="82">
        <f>D49*F49</f>
        <v>34704</v>
      </c>
      <c r="I49" s="82">
        <f>D49*G49</f>
        <v>4200</v>
      </c>
      <c r="J49" s="82">
        <f>H49+I49</f>
        <v>38904</v>
      </c>
      <c r="K49" s="80" t="s">
        <v>606</v>
      </c>
    </row>
    <row r="50" spans="1:11" ht="60" x14ac:dyDescent="0.25">
      <c r="A50" s="80">
        <v>635</v>
      </c>
      <c r="B50" s="80" t="s">
        <v>510</v>
      </c>
      <c r="C50" s="80" t="s">
        <v>607</v>
      </c>
      <c r="D50" s="81">
        <f>Estimate!C684</f>
        <v>8</v>
      </c>
      <c r="E50" s="80" t="s">
        <v>26</v>
      </c>
      <c r="F50" s="82">
        <v>2400</v>
      </c>
      <c r="G50" s="82">
        <v>200</v>
      </c>
      <c r="H50" s="82">
        <f>D50*F50</f>
        <v>19200</v>
      </c>
      <c r="I50" s="82">
        <f>D50*G50</f>
        <v>1600</v>
      </c>
      <c r="J50" s="82">
        <f>H50+I50</f>
        <v>20800</v>
      </c>
      <c r="K50" s="80" t="s">
        <v>608</v>
      </c>
    </row>
    <row r="51" spans="1:11" ht="45" x14ac:dyDescent="0.25">
      <c r="A51" s="80">
        <v>636</v>
      </c>
      <c r="B51" s="80" t="s">
        <v>510</v>
      </c>
      <c r="C51" s="80" t="s">
        <v>609</v>
      </c>
      <c r="D51" s="81">
        <f>Estimate!C685</f>
        <v>1</v>
      </c>
      <c r="E51" s="80" t="s">
        <v>19</v>
      </c>
      <c r="F51" s="82">
        <v>1200</v>
      </c>
      <c r="G51" s="82">
        <v>1300</v>
      </c>
      <c r="H51" s="82">
        <f>D51*F51</f>
        <v>1200</v>
      </c>
      <c r="I51" s="82">
        <f>D51*G51</f>
        <v>1300</v>
      </c>
      <c r="J51" s="82">
        <f>H51+I51</f>
        <v>2500</v>
      </c>
      <c r="K51" s="80" t="s">
        <v>610</v>
      </c>
    </row>
    <row r="52" spans="1:11" x14ac:dyDescent="0.25">
      <c r="C52" s="83" t="s">
        <v>611</v>
      </c>
      <c r="H52" s="84">
        <f>SUM(H48:H51)</f>
        <v>69354</v>
      </c>
      <c r="I52" s="84">
        <f>SUM(I48:I51)</f>
        <v>12350</v>
      </c>
      <c r="J52" s="84">
        <f>SUM(J48:J51)</f>
        <v>81704</v>
      </c>
    </row>
    <row r="54" spans="1:11" x14ac:dyDescent="0.25">
      <c r="C54" s="83" t="s">
        <v>612</v>
      </c>
      <c r="J54" s="84">
        <f>Estimate!F446</f>
        <v>230950.00000320002</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77"/>
  <sheetViews>
    <sheetView showGridLines="0" zoomScaleNormal="100" workbookViewId="0">
      <pane ySplit="5" topLeftCell="A6" activePane="bottomLeft" state="frozen"/>
      <selection pane="bottomLeft" sqref="A1:F1"/>
    </sheetView>
  </sheetViews>
  <sheetFormatPr defaultColWidth="8.7109375" defaultRowHeight="15" x14ac:dyDescent="0.25"/>
  <cols>
    <col min="1" max="1" width="5" customWidth="1"/>
    <col min="2" max="2" width="10" customWidth="1"/>
    <col min="3" max="3" width="20" customWidth="1"/>
    <col min="4" max="4" width="78" customWidth="1"/>
    <col min="5" max="5" width="16" customWidth="1"/>
    <col min="6" max="6" width="44" customWidth="1"/>
  </cols>
  <sheetData>
    <row r="1" spans="1:6" ht="24" customHeight="1" x14ac:dyDescent="0.35">
      <c r="A1" s="237" t="s">
        <v>726</v>
      </c>
      <c r="B1" s="237"/>
      <c r="C1" s="237"/>
      <c r="D1" s="237"/>
      <c r="E1" s="237"/>
      <c r="F1" s="237"/>
    </row>
    <row r="2" spans="1:6" ht="18" customHeight="1" x14ac:dyDescent="0.25">
      <c r="A2" s="238" t="s">
        <v>614</v>
      </c>
      <c r="B2" s="238"/>
      <c r="C2" s="238"/>
      <c r="D2" s="238"/>
      <c r="E2" s="238"/>
      <c r="F2" s="238"/>
    </row>
    <row r="3" spans="1:6" ht="25.5" customHeight="1" x14ac:dyDescent="0.25">
      <c r="A3" s="242" t="s">
        <v>727</v>
      </c>
      <c r="B3" s="242"/>
      <c r="C3" s="242"/>
      <c r="D3" s="242"/>
      <c r="E3" s="242"/>
      <c r="F3" s="242"/>
    </row>
    <row r="5" spans="1:6" ht="30" customHeight="1" x14ac:dyDescent="0.25">
      <c r="A5" s="124" t="s">
        <v>728</v>
      </c>
      <c r="B5" s="87" t="s">
        <v>729</v>
      </c>
      <c r="C5" s="86" t="s">
        <v>730</v>
      </c>
      <c r="D5" s="86" t="s">
        <v>731</v>
      </c>
      <c r="E5" s="87" t="s">
        <v>732</v>
      </c>
      <c r="F5" s="113" t="s">
        <v>733</v>
      </c>
    </row>
    <row r="6" spans="1:6" ht="91.5" customHeight="1" x14ac:dyDescent="0.25">
      <c r="A6" s="125">
        <v>1</v>
      </c>
      <c r="B6" s="126" t="s">
        <v>734</v>
      </c>
      <c r="C6" s="115" t="s">
        <v>735</v>
      </c>
      <c r="D6" s="115" t="s">
        <v>736</v>
      </c>
      <c r="E6" s="127">
        <v>1519144.85</v>
      </c>
      <c r="F6" s="116" t="s">
        <v>737</v>
      </c>
    </row>
    <row r="7" spans="1:6" ht="133.5" customHeight="1" x14ac:dyDescent="0.25">
      <c r="A7" s="128">
        <v>2</v>
      </c>
      <c r="B7" s="129" t="s">
        <v>734</v>
      </c>
      <c r="C7" s="117" t="s">
        <v>738</v>
      </c>
      <c r="D7" s="117" t="s">
        <v>739</v>
      </c>
      <c r="E7" s="130">
        <v>109521.47</v>
      </c>
      <c r="F7" s="118" t="s">
        <v>740</v>
      </c>
    </row>
    <row r="8" spans="1:6" ht="120" customHeight="1" x14ac:dyDescent="0.25">
      <c r="A8" s="131">
        <v>3</v>
      </c>
      <c r="B8" s="132" t="s">
        <v>741</v>
      </c>
      <c r="C8" s="120" t="s">
        <v>742</v>
      </c>
      <c r="D8" s="120" t="s">
        <v>743</v>
      </c>
      <c r="E8" s="133">
        <v>22929.34</v>
      </c>
      <c r="F8" s="121" t="s">
        <v>744</v>
      </c>
    </row>
    <row r="9" spans="1:6" ht="78" customHeight="1" x14ac:dyDescent="0.25">
      <c r="A9" s="128">
        <v>4</v>
      </c>
      <c r="B9" s="129" t="s">
        <v>734</v>
      </c>
      <c r="C9" s="117" t="s">
        <v>745</v>
      </c>
      <c r="D9" s="117" t="s">
        <v>746</v>
      </c>
      <c r="E9" s="130">
        <v>439739.91</v>
      </c>
      <c r="F9" s="118" t="s">
        <v>747</v>
      </c>
    </row>
    <row r="10" spans="1:6" ht="49.5" customHeight="1" x14ac:dyDescent="0.25">
      <c r="A10" s="128">
        <v>5</v>
      </c>
      <c r="B10" s="129" t="s">
        <v>734</v>
      </c>
      <c r="C10" s="117" t="s">
        <v>748</v>
      </c>
      <c r="D10" s="117" t="s">
        <v>749</v>
      </c>
      <c r="E10" s="130">
        <v>25684.3</v>
      </c>
      <c r="F10" s="118" t="s">
        <v>750</v>
      </c>
    </row>
    <row r="11" spans="1:6" ht="49.5" customHeight="1" x14ac:dyDescent="0.25">
      <c r="A11" s="128">
        <v>6</v>
      </c>
      <c r="B11" s="129" t="s">
        <v>734</v>
      </c>
      <c r="C11" s="117" t="s">
        <v>751</v>
      </c>
      <c r="D11" s="117" t="s">
        <v>752</v>
      </c>
      <c r="E11" s="130">
        <v>19147.95</v>
      </c>
      <c r="F11" s="118" t="s">
        <v>753</v>
      </c>
    </row>
    <row r="12" spans="1:6" ht="91.5" customHeight="1" x14ac:dyDescent="0.25">
      <c r="A12" s="128">
        <v>7</v>
      </c>
      <c r="B12" s="129" t="s">
        <v>734</v>
      </c>
      <c r="C12" s="117" t="s">
        <v>754</v>
      </c>
      <c r="D12" s="117" t="s">
        <v>755</v>
      </c>
      <c r="E12" s="130"/>
      <c r="F12" s="118" t="s">
        <v>756</v>
      </c>
    </row>
    <row r="13" spans="1:6" ht="49.5" customHeight="1" x14ac:dyDescent="0.25">
      <c r="A13" s="131">
        <v>8</v>
      </c>
      <c r="B13" s="132" t="s">
        <v>741</v>
      </c>
      <c r="C13" s="120" t="s">
        <v>757</v>
      </c>
      <c r="D13" s="120" t="s">
        <v>758</v>
      </c>
      <c r="E13" s="133">
        <v>100111.2</v>
      </c>
      <c r="F13" s="121" t="s">
        <v>759</v>
      </c>
    </row>
    <row r="14" spans="1:6" ht="63.75" customHeight="1" x14ac:dyDescent="0.25">
      <c r="A14" s="131">
        <v>9</v>
      </c>
      <c r="B14" s="132" t="s">
        <v>741</v>
      </c>
      <c r="C14" s="120" t="s">
        <v>760</v>
      </c>
      <c r="D14" s="120" t="s">
        <v>761</v>
      </c>
      <c r="E14" s="133">
        <v>3736.2</v>
      </c>
      <c r="F14" s="121" t="s">
        <v>762</v>
      </c>
    </row>
    <row r="15" spans="1:6" ht="49.5" customHeight="1" x14ac:dyDescent="0.25">
      <c r="A15" s="131">
        <v>10</v>
      </c>
      <c r="B15" s="132" t="s">
        <v>741</v>
      </c>
      <c r="C15" s="120" t="s">
        <v>763</v>
      </c>
      <c r="D15" s="120" t="s">
        <v>764</v>
      </c>
      <c r="E15" s="133">
        <v>1000</v>
      </c>
      <c r="F15" s="121" t="s">
        <v>765</v>
      </c>
    </row>
    <row r="16" spans="1:6" ht="63.75" customHeight="1" x14ac:dyDescent="0.25">
      <c r="A16" s="131">
        <v>11</v>
      </c>
      <c r="B16" s="132" t="s">
        <v>741</v>
      </c>
      <c r="C16" s="120" t="s">
        <v>766</v>
      </c>
      <c r="D16" s="120" t="s">
        <v>767</v>
      </c>
      <c r="E16" s="133"/>
      <c r="F16" s="121" t="s">
        <v>768</v>
      </c>
    </row>
    <row r="17" spans="1:6" ht="91.5" customHeight="1" x14ac:dyDescent="0.25">
      <c r="A17" s="131">
        <v>12</v>
      </c>
      <c r="B17" s="132" t="s">
        <v>741</v>
      </c>
      <c r="C17" s="120" t="s">
        <v>769</v>
      </c>
      <c r="D17" s="120" t="s">
        <v>770</v>
      </c>
      <c r="E17" s="133">
        <v>58823.24</v>
      </c>
      <c r="F17" s="121" t="s">
        <v>771</v>
      </c>
    </row>
    <row r="18" spans="1:6" ht="49.5" customHeight="1" x14ac:dyDescent="0.25">
      <c r="A18" s="131">
        <v>13</v>
      </c>
      <c r="B18" s="132" t="s">
        <v>741</v>
      </c>
      <c r="C18" s="120" t="s">
        <v>772</v>
      </c>
      <c r="D18" s="120" t="s">
        <v>773</v>
      </c>
      <c r="E18" s="133">
        <v>7800</v>
      </c>
      <c r="F18" s="121" t="s">
        <v>774</v>
      </c>
    </row>
    <row r="19" spans="1:6" ht="49.5" customHeight="1" x14ac:dyDescent="0.25">
      <c r="A19" s="134">
        <v>14</v>
      </c>
      <c r="B19" s="135" t="s">
        <v>775</v>
      </c>
      <c r="C19" s="136" t="s">
        <v>776</v>
      </c>
      <c r="D19" s="136" t="s">
        <v>777</v>
      </c>
      <c r="E19" s="137">
        <v>15500</v>
      </c>
      <c r="F19" s="138" t="s">
        <v>778</v>
      </c>
    </row>
    <row r="20" spans="1:6" ht="49.5" customHeight="1" x14ac:dyDescent="0.25">
      <c r="A20" s="134">
        <v>15</v>
      </c>
      <c r="B20" s="135" t="s">
        <v>775</v>
      </c>
      <c r="C20" s="136" t="s">
        <v>779</v>
      </c>
      <c r="D20" s="136" t="s">
        <v>780</v>
      </c>
      <c r="E20" s="137">
        <v>6745.41</v>
      </c>
      <c r="F20" s="138" t="s">
        <v>781</v>
      </c>
    </row>
    <row r="21" spans="1:6" ht="36" customHeight="1" x14ac:dyDescent="0.25">
      <c r="A21" s="134">
        <v>16</v>
      </c>
      <c r="B21" s="135" t="s">
        <v>775</v>
      </c>
      <c r="C21" s="136" t="s">
        <v>782</v>
      </c>
      <c r="D21" s="136" t="s">
        <v>783</v>
      </c>
      <c r="E21" s="137"/>
      <c r="F21" s="138" t="s">
        <v>784</v>
      </c>
    </row>
    <row r="22" spans="1:6" ht="63.75" customHeight="1" x14ac:dyDescent="0.25">
      <c r="A22" s="128">
        <v>17</v>
      </c>
      <c r="B22" s="129" t="s">
        <v>734</v>
      </c>
      <c r="C22" s="117" t="s">
        <v>785</v>
      </c>
      <c r="D22" s="117" t="s">
        <v>786</v>
      </c>
      <c r="E22" s="130"/>
      <c r="F22" s="118" t="s">
        <v>787</v>
      </c>
    </row>
    <row r="23" spans="1:6" ht="63.75" customHeight="1" x14ac:dyDescent="0.25">
      <c r="A23" s="128">
        <v>18</v>
      </c>
      <c r="B23" s="129" t="s">
        <v>734</v>
      </c>
      <c r="C23" s="117" t="s">
        <v>788</v>
      </c>
      <c r="D23" s="117" t="s">
        <v>789</v>
      </c>
      <c r="E23" s="130"/>
      <c r="F23" s="118" t="s">
        <v>787</v>
      </c>
    </row>
    <row r="24" spans="1:6" ht="49.5" customHeight="1" x14ac:dyDescent="0.25">
      <c r="A24" s="128">
        <v>19</v>
      </c>
      <c r="B24" s="129" t="s">
        <v>734</v>
      </c>
      <c r="C24" s="117" t="s">
        <v>790</v>
      </c>
      <c r="D24" s="117" t="s">
        <v>791</v>
      </c>
      <c r="E24" s="130"/>
      <c r="F24" s="118" t="s">
        <v>787</v>
      </c>
    </row>
    <row r="25" spans="1:6" ht="63.75" customHeight="1" x14ac:dyDescent="0.25">
      <c r="A25" s="128">
        <v>20</v>
      </c>
      <c r="B25" s="129" t="s">
        <v>734</v>
      </c>
      <c r="C25" s="117" t="s">
        <v>792</v>
      </c>
      <c r="D25" s="117" t="s">
        <v>793</v>
      </c>
      <c r="E25" s="130"/>
      <c r="F25" s="118" t="s">
        <v>787</v>
      </c>
    </row>
    <row r="26" spans="1:6" ht="49.5" customHeight="1" x14ac:dyDescent="0.25">
      <c r="A26" s="131">
        <v>21</v>
      </c>
      <c r="B26" s="132" t="s">
        <v>741</v>
      </c>
      <c r="C26" s="120" t="s">
        <v>794</v>
      </c>
      <c r="D26" s="120" t="s">
        <v>795</v>
      </c>
      <c r="E26" s="133"/>
      <c r="F26" s="121" t="s">
        <v>787</v>
      </c>
    </row>
    <row r="27" spans="1:6" ht="49.5" customHeight="1" x14ac:dyDescent="0.25">
      <c r="A27" s="131">
        <v>22</v>
      </c>
      <c r="B27" s="132" t="s">
        <v>741</v>
      </c>
      <c r="C27" s="120" t="s">
        <v>796</v>
      </c>
      <c r="D27" s="120" t="s">
        <v>797</v>
      </c>
      <c r="E27" s="133"/>
      <c r="F27" s="121" t="s">
        <v>787</v>
      </c>
    </row>
    <row r="28" spans="1:6" ht="49.5" customHeight="1" x14ac:dyDescent="0.25">
      <c r="A28" s="131">
        <v>23</v>
      </c>
      <c r="B28" s="132" t="s">
        <v>741</v>
      </c>
      <c r="C28" s="120" t="s">
        <v>798</v>
      </c>
      <c r="D28" s="120" t="s">
        <v>799</v>
      </c>
      <c r="E28" s="133"/>
      <c r="F28" s="121" t="s">
        <v>787</v>
      </c>
    </row>
    <row r="29" spans="1:6" ht="49.5" customHeight="1" x14ac:dyDescent="0.25">
      <c r="A29" s="131">
        <v>24</v>
      </c>
      <c r="B29" s="132" t="s">
        <v>741</v>
      </c>
      <c r="C29" s="120" t="s">
        <v>800</v>
      </c>
      <c r="D29" s="120" t="s">
        <v>801</v>
      </c>
      <c r="E29" s="133"/>
      <c r="F29" s="121" t="s">
        <v>787</v>
      </c>
    </row>
    <row r="30" spans="1:6" ht="49.5" customHeight="1" x14ac:dyDescent="0.25">
      <c r="A30" s="131">
        <v>25</v>
      </c>
      <c r="B30" s="132" t="s">
        <v>741</v>
      </c>
      <c r="C30" s="120" t="s">
        <v>802</v>
      </c>
      <c r="D30" s="120" t="s">
        <v>803</v>
      </c>
      <c r="E30" s="133"/>
      <c r="F30" s="121" t="s">
        <v>787</v>
      </c>
    </row>
    <row r="31" spans="1:6" ht="49.5" customHeight="1" x14ac:dyDescent="0.25">
      <c r="A31" s="131">
        <v>26</v>
      </c>
      <c r="B31" s="132" t="s">
        <v>741</v>
      </c>
      <c r="C31" s="120" t="s">
        <v>804</v>
      </c>
      <c r="D31" s="120" t="s">
        <v>805</v>
      </c>
      <c r="E31" s="133"/>
      <c r="F31" s="121" t="s">
        <v>787</v>
      </c>
    </row>
    <row r="32" spans="1:6" ht="49.5" customHeight="1" x14ac:dyDescent="0.25">
      <c r="A32" s="131">
        <v>27</v>
      </c>
      <c r="B32" s="132" t="s">
        <v>741</v>
      </c>
      <c r="C32" s="120" t="s">
        <v>806</v>
      </c>
      <c r="D32" s="120" t="s">
        <v>807</v>
      </c>
      <c r="E32" s="133"/>
      <c r="F32" s="121" t="s">
        <v>787</v>
      </c>
    </row>
    <row r="33" spans="1:6" ht="78" customHeight="1" x14ac:dyDescent="0.25">
      <c r="A33" s="131">
        <v>28</v>
      </c>
      <c r="B33" s="132" t="s">
        <v>741</v>
      </c>
      <c r="C33" s="120" t="s">
        <v>808</v>
      </c>
      <c r="D33" s="120" t="s">
        <v>809</v>
      </c>
      <c r="E33" s="133"/>
      <c r="F33" s="121" t="s">
        <v>787</v>
      </c>
    </row>
    <row r="34" spans="1:6" ht="49.5" customHeight="1" x14ac:dyDescent="0.25">
      <c r="A34" s="128">
        <v>29</v>
      </c>
      <c r="B34" s="129" t="s">
        <v>734</v>
      </c>
      <c r="C34" s="117" t="s">
        <v>810</v>
      </c>
      <c r="D34" s="117" t="s">
        <v>811</v>
      </c>
      <c r="E34" s="130"/>
      <c r="F34" s="118" t="s">
        <v>787</v>
      </c>
    </row>
    <row r="35" spans="1:6" ht="63.75" customHeight="1" x14ac:dyDescent="0.25">
      <c r="A35" s="128">
        <v>30</v>
      </c>
      <c r="B35" s="129" t="s">
        <v>734</v>
      </c>
      <c r="C35" s="117" t="s">
        <v>812</v>
      </c>
      <c r="D35" s="117" t="s">
        <v>813</v>
      </c>
      <c r="E35" s="130"/>
      <c r="F35" s="118" t="s">
        <v>787</v>
      </c>
    </row>
    <row r="36" spans="1:6" ht="63.75" customHeight="1" x14ac:dyDescent="0.25">
      <c r="A36" s="128">
        <v>31</v>
      </c>
      <c r="B36" s="129" t="s">
        <v>734</v>
      </c>
      <c r="C36" s="117" t="s">
        <v>814</v>
      </c>
      <c r="D36" s="117" t="s">
        <v>815</v>
      </c>
      <c r="E36" s="130"/>
      <c r="F36" s="118" t="s">
        <v>787</v>
      </c>
    </row>
    <row r="37" spans="1:6" ht="49.5" customHeight="1" x14ac:dyDescent="0.25">
      <c r="A37" s="131">
        <v>32</v>
      </c>
      <c r="B37" s="132" t="s">
        <v>741</v>
      </c>
      <c r="C37" s="120" t="s">
        <v>816</v>
      </c>
      <c r="D37" s="120" t="s">
        <v>817</v>
      </c>
      <c r="E37" s="133"/>
      <c r="F37" s="121" t="s">
        <v>787</v>
      </c>
    </row>
    <row r="38" spans="1:6" ht="36" customHeight="1" x14ac:dyDescent="0.25">
      <c r="A38" s="131">
        <v>33</v>
      </c>
      <c r="B38" s="132" t="s">
        <v>741</v>
      </c>
      <c r="C38" s="120" t="s">
        <v>818</v>
      </c>
      <c r="D38" s="120" t="s">
        <v>819</v>
      </c>
      <c r="E38" s="133"/>
      <c r="F38" s="121" t="s">
        <v>787</v>
      </c>
    </row>
    <row r="39" spans="1:6" ht="49.5" customHeight="1" x14ac:dyDescent="0.25">
      <c r="A39" s="131">
        <v>34</v>
      </c>
      <c r="B39" s="132" t="s">
        <v>741</v>
      </c>
      <c r="C39" s="120" t="s">
        <v>820</v>
      </c>
      <c r="D39" s="120" t="s">
        <v>821</v>
      </c>
      <c r="E39" s="133"/>
      <c r="F39" s="121" t="s">
        <v>787</v>
      </c>
    </row>
    <row r="40" spans="1:6" ht="49.5" customHeight="1" x14ac:dyDescent="0.25">
      <c r="A40" s="131">
        <v>35</v>
      </c>
      <c r="B40" s="132" t="s">
        <v>741</v>
      </c>
      <c r="C40" s="120" t="s">
        <v>822</v>
      </c>
      <c r="D40" s="120" t="s">
        <v>823</v>
      </c>
      <c r="E40" s="133"/>
      <c r="F40" s="121" t="s">
        <v>787</v>
      </c>
    </row>
    <row r="41" spans="1:6" ht="36" customHeight="1" x14ac:dyDescent="0.25">
      <c r="A41" s="131">
        <v>36</v>
      </c>
      <c r="B41" s="132" t="s">
        <v>741</v>
      </c>
      <c r="C41" s="120" t="s">
        <v>824</v>
      </c>
      <c r="D41" s="120" t="s">
        <v>825</v>
      </c>
      <c r="E41" s="133"/>
      <c r="F41" s="121" t="s">
        <v>787</v>
      </c>
    </row>
    <row r="42" spans="1:6" ht="63.75" customHeight="1" x14ac:dyDescent="0.25">
      <c r="A42" s="131">
        <v>37</v>
      </c>
      <c r="B42" s="132" t="s">
        <v>741</v>
      </c>
      <c r="C42" s="120" t="s">
        <v>826</v>
      </c>
      <c r="D42" s="120" t="s">
        <v>827</v>
      </c>
      <c r="E42" s="133"/>
      <c r="F42" s="121" t="s">
        <v>787</v>
      </c>
    </row>
    <row r="43" spans="1:6" ht="49.5" customHeight="1" x14ac:dyDescent="0.25">
      <c r="A43" s="131">
        <v>38</v>
      </c>
      <c r="B43" s="132" t="s">
        <v>741</v>
      </c>
      <c r="C43" s="120" t="s">
        <v>828</v>
      </c>
      <c r="D43" s="120" t="s">
        <v>829</v>
      </c>
      <c r="E43" s="133"/>
      <c r="F43" s="121" t="s">
        <v>787</v>
      </c>
    </row>
    <row r="44" spans="1:6" ht="63.75" customHeight="1" x14ac:dyDescent="0.25">
      <c r="A44" s="128">
        <v>39</v>
      </c>
      <c r="B44" s="129" t="s">
        <v>734</v>
      </c>
      <c r="C44" s="117" t="s">
        <v>830</v>
      </c>
      <c r="D44" s="117" t="s">
        <v>831</v>
      </c>
      <c r="E44" s="130"/>
      <c r="F44" s="118" t="s">
        <v>787</v>
      </c>
    </row>
    <row r="45" spans="1:6" ht="49.5" customHeight="1" x14ac:dyDescent="0.25">
      <c r="A45" s="131">
        <v>40</v>
      </c>
      <c r="B45" s="132" t="s">
        <v>741</v>
      </c>
      <c r="C45" s="120" t="s">
        <v>832</v>
      </c>
      <c r="D45" s="120" t="s">
        <v>833</v>
      </c>
      <c r="E45" s="133"/>
      <c r="F45" s="121" t="s">
        <v>787</v>
      </c>
    </row>
    <row r="46" spans="1:6" ht="49.5" customHeight="1" x14ac:dyDescent="0.25">
      <c r="A46" s="131">
        <v>41</v>
      </c>
      <c r="B46" s="132" t="s">
        <v>741</v>
      </c>
      <c r="C46" s="120" t="s">
        <v>834</v>
      </c>
      <c r="D46" s="120" t="s">
        <v>835</v>
      </c>
      <c r="E46" s="133"/>
      <c r="F46" s="121" t="s">
        <v>787</v>
      </c>
    </row>
    <row r="47" spans="1:6" ht="78" customHeight="1" x14ac:dyDescent="0.25">
      <c r="A47" s="131">
        <v>42</v>
      </c>
      <c r="B47" s="132" t="s">
        <v>741</v>
      </c>
      <c r="C47" s="120" t="s">
        <v>836</v>
      </c>
      <c r="D47" s="120" t="s">
        <v>837</v>
      </c>
      <c r="E47" s="133"/>
      <c r="F47" s="121" t="s">
        <v>787</v>
      </c>
    </row>
    <row r="48" spans="1:6" ht="49.5" customHeight="1" x14ac:dyDescent="0.25">
      <c r="A48" s="131">
        <v>43</v>
      </c>
      <c r="B48" s="132" t="s">
        <v>741</v>
      </c>
      <c r="C48" s="120" t="s">
        <v>838</v>
      </c>
      <c r="D48" s="120" t="s">
        <v>839</v>
      </c>
      <c r="E48" s="133"/>
      <c r="F48" s="121" t="s">
        <v>787</v>
      </c>
    </row>
    <row r="49" spans="1:6" ht="63.75" customHeight="1" x14ac:dyDescent="0.25">
      <c r="A49" s="131">
        <v>44</v>
      </c>
      <c r="B49" s="132" t="s">
        <v>741</v>
      </c>
      <c r="C49" s="120" t="s">
        <v>840</v>
      </c>
      <c r="D49" s="120" t="s">
        <v>841</v>
      </c>
      <c r="E49" s="133"/>
      <c r="F49" s="121" t="s">
        <v>787</v>
      </c>
    </row>
    <row r="50" spans="1:6" ht="63.75" customHeight="1" x14ac:dyDescent="0.25">
      <c r="A50" s="131">
        <v>45</v>
      </c>
      <c r="B50" s="132" t="s">
        <v>741</v>
      </c>
      <c r="C50" s="120" t="s">
        <v>842</v>
      </c>
      <c r="D50" s="120" t="s">
        <v>843</v>
      </c>
      <c r="E50" s="133"/>
      <c r="F50" s="121" t="s">
        <v>787</v>
      </c>
    </row>
    <row r="51" spans="1:6" ht="49.5" customHeight="1" x14ac:dyDescent="0.25">
      <c r="A51" s="131">
        <v>46</v>
      </c>
      <c r="B51" s="132" t="s">
        <v>741</v>
      </c>
      <c r="C51" s="120" t="s">
        <v>844</v>
      </c>
      <c r="D51" s="120" t="s">
        <v>845</v>
      </c>
      <c r="E51" s="133"/>
      <c r="F51" s="121" t="s">
        <v>787</v>
      </c>
    </row>
    <row r="52" spans="1:6" ht="49.5" customHeight="1" x14ac:dyDescent="0.25">
      <c r="A52" s="134">
        <v>47</v>
      </c>
      <c r="B52" s="135" t="s">
        <v>775</v>
      </c>
      <c r="C52" s="136" t="s">
        <v>846</v>
      </c>
      <c r="D52" s="136" t="s">
        <v>847</v>
      </c>
      <c r="E52" s="137"/>
      <c r="F52" s="138" t="s">
        <v>848</v>
      </c>
    </row>
    <row r="53" spans="1:6" ht="49.5" customHeight="1" x14ac:dyDescent="0.25">
      <c r="A53" s="134">
        <v>48</v>
      </c>
      <c r="B53" s="135" t="s">
        <v>775</v>
      </c>
      <c r="C53" s="136" t="s">
        <v>849</v>
      </c>
      <c r="D53" s="136" t="s">
        <v>850</v>
      </c>
      <c r="E53" s="137"/>
      <c r="F53" s="138" t="s">
        <v>848</v>
      </c>
    </row>
    <row r="54" spans="1:6" ht="49.5" customHeight="1" x14ac:dyDescent="0.25">
      <c r="A54" s="134">
        <v>49</v>
      </c>
      <c r="B54" s="135" t="s">
        <v>775</v>
      </c>
      <c r="C54" s="136" t="s">
        <v>851</v>
      </c>
      <c r="D54" s="136" t="s">
        <v>852</v>
      </c>
      <c r="E54" s="137"/>
      <c r="F54" s="138" t="s">
        <v>848</v>
      </c>
    </row>
    <row r="55" spans="1:6" ht="36" customHeight="1" x14ac:dyDescent="0.25">
      <c r="A55" s="134">
        <v>50</v>
      </c>
      <c r="B55" s="135" t="s">
        <v>775</v>
      </c>
      <c r="C55" s="136" t="s">
        <v>853</v>
      </c>
      <c r="D55" s="136" t="s">
        <v>854</v>
      </c>
      <c r="E55" s="137"/>
      <c r="F55" s="138" t="s">
        <v>848</v>
      </c>
    </row>
    <row r="56" spans="1:6" ht="36" customHeight="1" x14ac:dyDescent="0.25">
      <c r="A56" s="134">
        <v>51</v>
      </c>
      <c r="B56" s="135" t="s">
        <v>775</v>
      </c>
      <c r="C56" s="136" t="s">
        <v>855</v>
      </c>
      <c r="D56" s="136" t="s">
        <v>856</v>
      </c>
      <c r="E56" s="137"/>
      <c r="F56" s="138" t="s">
        <v>848</v>
      </c>
    </row>
    <row r="57" spans="1:6" ht="49.5" customHeight="1" x14ac:dyDescent="0.25">
      <c r="A57" s="134">
        <v>52</v>
      </c>
      <c r="B57" s="135" t="s">
        <v>775</v>
      </c>
      <c r="C57" s="136" t="s">
        <v>857</v>
      </c>
      <c r="D57" s="136" t="s">
        <v>858</v>
      </c>
      <c r="E57" s="137"/>
      <c r="F57" s="138" t="s">
        <v>848</v>
      </c>
    </row>
    <row r="58" spans="1:6" ht="36" customHeight="1" x14ac:dyDescent="0.25">
      <c r="A58" s="134">
        <v>53</v>
      </c>
      <c r="B58" s="135" t="s">
        <v>775</v>
      </c>
      <c r="C58" s="136" t="s">
        <v>859</v>
      </c>
      <c r="D58" s="136" t="s">
        <v>860</v>
      </c>
      <c r="E58" s="137"/>
      <c r="F58" s="138" t="s">
        <v>848</v>
      </c>
    </row>
    <row r="59" spans="1:6" ht="63.75" customHeight="1" x14ac:dyDescent="0.25">
      <c r="A59" s="134">
        <v>54</v>
      </c>
      <c r="B59" s="135" t="s">
        <v>775</v>
      </c>
      <c r="C59" s="136" t="s">
        <v>861</v>
      </c>
      <c r="D59" s="136" t="s">
        <v>862</v>
      </c>
      <c r="E59" s="137"/>
      <c r="F59" s="138" t="s">
        <v>848</v>
      </c>
    </row>
    <row r="60" spans="1:6" ht="49.5" customHeight="1" x14ac:dyDescent="0.25">
      <c r="A60" s="134">
        <v>55</v>
      </c>
      <c r="B60" s="135" t="s">
        <v>775</v>
      </c>
      <c r="C60" s="136" t="s">
        <v>863</v>
      </c>
      <c r="D60" s="136" t="s">
        <v>864</v>
      </c>
      <c r="E60" s="137"/>
      <c r="F60" s="138" t="s">
        <v>848</v>
      </c>
    </row>
    <row r="61" spans="1:6" ht="36" customHeight="1" x14ac:dyDescent="0.25">
      <c r="A61" s="134">
        <v>56</v>
      </c>
      <c r="B61" s="135" t="s">
        <v>775</v>
      </c>
      <c r="C61" s="136" t="s">
        <v>865</v>
      </c>
      <c r="D61" s="136" t="s">
        <v>866</v>
      </c>
      <c r="E61" s="137"/>
      <c r="F61" s="138" t="s">
        <v>848</v>
      </c>
    </row>
    <row r="62" spans="1:6" ht="49.5" customHeight="1" x14ac:dyDescent="0.25">
      <c r="A62" s="134">
        <v>57</v>
      </c>
      <c r="B62" s="135" t="s">
        <v>775</v>
      </c>
      <c r="C62" s="136" t="s">
        <v>867</v>
      </c>
      <c r="D62" s="136" t="s">
        <v>868</v>
      </c>
      <c r="E62" s="137"/>
      <c r="F62" s="138" t="s">
        <v>848</v>
      </c>
    </row>
    <row r="63" spans="1:6" ht="36" customHeight="1" x14ac:dyDescent="0.25">
      <c r="A63" s="134">
        <v>58</v>
      </c>
      <c r="B63" s="135" t="s">
        <v>775</v>
      </c>
      <c r="C63" s="136" t="s">
        <v>869</v>
      </c>
      <c r="D63" s="136" t="s">
        <v>870</v>
      </c>
      <c r="E63" s="137"/>
      <c r="F63" s="138" t="s">
        <v>848</v>
      </c>
    </row>
    <row r="64" spans="1:6" ht="36" customHeight="1" x14ac:dyDescent="0.25">
      <c r="A64" s="134">
        <v>59</v>
      </c>
      <c r="B64" s="135" t="s">
        <v>775</v>
      </c>
      <c r="C64" s="136" t="s">
        <v>871</v>
      </c>
      <c r="D64" s="136" t="s">
        <v>872</v>
      </c>
      <c r="E64" s="137"/>
      <c r="F64" s="138" t="s">
        <v>848</v>
      </c>
    </row>
    <row r="65" spans="1:6" ht="36" customHeight="1" x14ac:dyDescent="0.25">
      <c r="A65" s="134">
        <v>60</v>
      </c>
      <c r="B65" s="135" t="s">
        <v>775</v>
      </c>
      <c r="C65" s="136" t="s">
        <v>873</v>
      </c>
      <c r="D65" s="136" t="s">
        <v>874</v>
      </c>
      <c r="E65" s="137"/>
      <c r="F65" s="138" t="s">
        <v>848</v>
      </c>
    </row>
    <row r="66" spans="1:6" ht="49.5" customHeight="1" x14ac:dyDescent="0.25">
      <c r="A66" s="134">
        <v>61</v>
      </c>
      <c r="B66" s="135" t="s">
        <v>775</v>
      </c>
      <c r="C66" s="136" t="s">
        <v>875</v>
      </c>
      <c r="D66" s="136" t="s">
        <v>876</v>
      </c>
      <c r="E66" s="137"/>
      <c r="F66" s="138" t="s">
        <v>848</v>
      </c>
    </row>
    <row r="67" spans="1:6" ht="36" customHeight="1" x14ac:dyDescent="0.25">
      <c r="A67" s="134">
        <v>62</v>
      </c>
      <c r="B67" s="135" t="s">
        <v>775</v>
      </c>
      <c r="C67" s="136" t="s">
        <v>877</v>
      </c>
      <c r="D67" s="136" t="s">
        <v>878</v>
      </c>
      <c r="E67" s="137"/>
      <c r="F67" s="138" t="s">
        <v>848</v>
      </c>
    </row>
    <row r="68" spans="1:6" ht="49.5" customHeight="1" x14ac:dyDescent="0.25">
      <c r="A68" s="134">
        <v>63</v>
      </c>
      <c r="B68" s="135" t="s">
        <v>775</v>
      </c>
      <c r="C68" s="136" t="s">
        <v>879</v>
      </c>
      <c r="D68" s="136" t="s">
        <v>880</v>
      </c>
      <c r="E68" s="137"/>
      <c r="F68" s="138" t="s">
        <v>848</v>
      </c>
    </row>
    <row r="69" spans="1:6" ht="36" customHeight="1" x14ac:dyDescent="0.25">
      <c r="A69" s="134">
        <v>64</v>
      </c>
      <c r="B69" s="135" t="s">
        <v>775</v>
      </c>
      <c r="C69" s="136" t="s">
        <v>881</v>
      </c>
      <c r="D69" s="136" t="s">
        <v>882</v>
      </c>
      <c r="E69" s="137"/>
      <c r="F69" s="138" t="s">
        <v>848</v>
      </c>
    </row>
    <row r="70" spans="1:6" ht="36" customHeight="1" x14ac:dyDescent="0.25">
      <c r="A70" s="134">
        <v>65</v>
      </c>
      <c r="B70" s="135" t="s">
        <v>775</v>
      </c>
      <c r="C70" s="136" t="s">
        <v>883</v>
      </c>
      <c r="D70" s="136" t="s">
        <v>884</v>
      </c>
      <c r="E70" s="137"/>
      <c r="F70" s="138" t="s">
        <v>848</v>
      </c>
    </row>
    <row r="71" spans="1:6" ht="63.75" customHeight="1" x14ac:dyDescent="0.25">
      <c r="A71" s="134">
        <v>66</v>
      </c>
      <c r="B71" s="135" t="s">
        <v>775</v>
      </c>
      <c r="C71" s="136" t="s">
        <v>885</v>
      </c>
      <c r="D71" s="136" t="s">
        <v>886</v>
      </c>
      <c r="E71" s="137"/>
      <c r="F71" s="138" t="s">
        <v>848</v>
      </c>
    </row>
    <row r="72" spans="1:6" ht="49.5" customHeight="1" x14ac:dyDescent="0.25">
      <c r="A72" s="134">
        <v>67</v>
      </c>
      <c r="B72" s="135" t="s">
        <v>775</v>
      </c>
      <c r="C72" s="136" t="s">
        <v>887</v>
      </c>
      <c r="D72" s="136" t="s">
        <v>888</v>
      </c>
      <c r="E72" s="137"/>
      <c r="F72" s="138" t="s">
        <v>848</v>
      </c>
    </row>
    <row r="73" spans="1:6" ht="49.5" customHeight="1" x14ac:dyDescent="0.25">
      <c r="A73" s="134">
        <v>68</v>
      </c>
      <c r="B73" s="135" t="s">
        <v>775</v>
      </c>
      <c r="C73" s="136" t="s">
        <v>889</v>
      </c>
      <c r="D73" s="136" t="s">
        <v>890</v>
      </c>
      <c r="E73" s="137"/>
      <c r="F73" s="138" t="s">
        <v>848</v>
      </c>
    </row>
    <row r="74" spans="1:6" ht="36" customHeight="1" x14ac:dyDescent="0.25">
      <c r="A74" s="134">
        <v>69</v>
      </c>
      <c r="B74" s="135" t="s">
        <v>775</v>
      </c>
      <c r="C74" s="136" t="s">
        <v>891</v>
      </c>
      <c r="D74" s="136" t="s">
        <v>892</v>
      </c>
      <c r="E74" s="137"/>
      <c r="F74" s="138" t="s">
        <v>848</v>
      </c>
    </row>
    <row r="75" spans="1:6" ht="49.5" customHeight="1" x14ac:dyDescent="0.25">
      <c r="A75" s="134">
        <v>70</v>
      </c>
      <c r="B75" s="135" t="s">
        <v>775</v>
      </c>
      <c r="C75" s="136" t="s">
        <v>893</v>
      </c>
      <c r="D75" s="136" t="s">
        <v>894</v>
      </c>
      <c r="E75" s="137"/>
      <c r="F75" s="138" t="s">
        <v>848</v>
      </c>
    </row>
    <row r="76" spans="1:6" ht="49.5" customHeight="1" x14ac:dyDescent="0.25">
      <c r="A76" s="134">
        <v>71</v>
      </c>
      <c r="B76" s="135" t="s">
        <v>775</v>
      </c>
      <c r="C76" s="136" t="s">
        <v>895</v>
      </c>
      <c r="D76" s="136" t="s">
        <v>896</v>
      </c>
      <c r="E76" s="137"/>
      <c r="F76" s="138" t="s">
        <v>848</v>
      </c>
    </row>
    <row r="77" spans="1:6" ht="49.5" customHeight="1" x14ac:dyDescent="0.25">
      <c r="A77" s="139">
        <v>72</v>
      </c>
      <c r="B77" s="140" t="s">
        <v>775</v>
      </c>
      <c r="C77" s="141" t="s">
        <v>897</v>
      </c>
      <c r="D77" s="141" t="s">
        <v>898</v>
      </c>
      <c r="E77" s="142"/>
      <c r="F77" s="143" t="s">
        <v>848</v>
      </c>
    </row>
  </sheetData>
  <mergeCells count="3">
    <mergeCell ref="A1:F1"/>
    <mergeCell ref="A2:F2"/>
    <mergeCell ref="A3:F3"/>
  </mergeCells>
  <pageMargins left="0.75" right="0.75" top="1" bottom="1" header="0.511811023622047" footer="0.511811023622047"/>
  <pageSetup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376"/>
  <sheetViews>
    <sheetView showGridLines="0" zoomScaleNormal="100" workbookViewId="0"/>
  </sheetViews>
  <sheetFormatPr defaultColWidth="8.7109375" defaultRowHeight="15" x14ac:dyDescent="0.25"/>
  <cols>
    <col min="1" max="1" width="10" customWidth="1"/>
    <col min="2" max="2" width="22" customWidth="1"/>
    <col min="3" max="3" width="54" customWidth="1"/>
    <col min="4" max="4" width="12" customWidth="1"/>
    <col min="5" max="5" width="8" customWidth="1"/>
    <col min="6" max="6" width="70" customWidth="1"/>
  </cols>
  <sheetData>
    <row r="1" spans="1:6" ht="18.75" customHeight="1" x14ac:dyDescent="0.3">
      <c r="A1" s="243" t="s">
        <v>899</v>
      </c>
      <c r="B1" s="243"/>
      <c r="C1" s="243"/>
      <c r="D1" s="243"/>
      <c r="E1" s="243"/>
      <c r="F1" s="243"/>
    </row>
    <row r="3" spans="1:6" ht="30" customHeight="1" x14ac:dyDescent="0.25">
      <c r="A3" s="144" t="s">
        <v>6</v>
      </c>
      <c r="B3" s="145" t="s">
        <v>616</v>
      </c>
      <c r="C3" s="145" t="s">
        <v>7</v>
      </c>
      <c r="D3" s="146" t="s">
        <v>8</v>
      </c>
      <c r="E3" s="146" t="s">
        <v>9</v>
      </c>
      <c r="F3" s="147" t="s">
        <v>525</v>
      </c>
    </row>
    <row r="4" spans="1:6" ht="49.5" customHeight="1" x14ac:dyDescent="0.25">
      <c r="A4" s="148" t="s">
        <v>17</v>
      </c>
      <c r="B4" s="120" t="s">
        <v>622</v>
      </c>
      <c r="C4" s="120" t="s">
        <v>900</v>
      </c>
      <c r="D4" s="120">
        <v>3391.41</v>
      </c>
      <c r="E4" s="120" t="s">
        <v>23</v>
      </c>
      <c r="F4" s="121" t="s">
        <v>901</v>
      </c>
    </row>
    <row r="5" spans="1:6" ht="49.5" customHeight="1" x14ac:dyDescent="0.25">
      <c r="A5" s="148" t="s">
        <v>17</v>
      </c>
      <c r="B5" s="120" t="s">
        <v>622</v>
      </c>
      <c r="C5" s="120" t="s">
        <v>902</v>
      </c>
      <c r="D5" s="120"/>
      <c r="E5" s="120"/>
      <c r="F5" s="121" t="s">
        <v>903</v>
      </c>
    </row>
    <row r="6" spans="1:6" ht="63.75" customHeight="1" x14ac:dyDescent="0.25">
      <c r="A6" s="148" t="s">
        <v>17</v>
      </c>
      <c r="B6" s="120" t="s">
        <v>622</v>
      </c>
      <c r="C6" s="120" t="s">
        <v>904</v>
      </c>
      <c r="D6" s="120"/>
      <c r="E6" s="120"/>
      <c r="F6" s="121" t="s">
        <v>905</v>
      </c>
    </row>
    <row r="7" spans="1:6" ht="49.5" customHeight="1" x14ac:dyDescent="0.25">
      <c r="A7" s="148" t="s">
        <v>17</v>
      </c>
      <c r="B7" s="120" t="s">
        <v>622</v>
      </c>
      <c r="C7" s="120" t="s">
        <v>906</v>
      </c>
      <c r="D7" s="120"/>
      <c r="E7" s="120"/>
      <c r="F7" s="121" t="s">
        <v>907</v>
      </c>
    </row>
    <row r="8" spans="1:6" ht="49.5" customHeight="1" x14ac:dyDescent="0.25">
      <c r="A8" s="148" t="s">
        <v>17</v>
      </c>
      <c r="B8" s="120" t="s">
        <v>622</v>
      </c>
      <c r="C8" s="120" t="s">
        <v>908</v>
      </c>
      <c r="D8" s="120">
        <v>1</v>
      </c>
      <c r="E8" s="120" t="s">
        <v>19</v>
      </c>
      <c r="F8" s="121" t="s">
        <v>909</v>
      </c>
    </row>
    <row r="9" spans="1:6" ht="63.75" customHeight="1" x14ac:dyDescent="0.25">
      <c r="A9" s="148" t="s">
        <v>17</v>
      </c>
      <c r="B9" s="120" t="s">
        <v>622</v>
      </c>
      <c r="C9" s="120" t="s">
        <v>910</v>
      </c>
      <c r="D9" s="120">
        <v>80.260000000000005</v>
      </c>
      <c r="E9" s="120" t="s">
        <v>21</v>
      </c>
      <c r="F9" s="121" t="s">
        <v>911</v>
      </c>
    </row>
    <row r="10" spans="1:6" ht="63.75" customHeight="1" x14ac:dyDescent="0.25">
      <c r="A10" s="148" t="s">
        <v>17</v>
      </c>
      <c r="B10" s="120" t="s">
        <v>622</v>
      </c>
      <c r="C10" s="120" t="s">
        <v>912</v>
      </c>
      <c r="D10" s="120">
        <v>6171.87</v>
      </c>
      <c r="E10" s="120" t="s">
        <v>23</v>
      </c>
      <c r="F10" s="121" t="s">
        <v>913</v>
      </c>
    </row>
    <row r="11" spans="1:6" ht="49.5" customHeight="1" x14ac:dyDescent="0.25">
      <c r="A11" s="148" t="s">
        <v>17</v>
      </c>
      <c r="B11" s="120" t="s">
        <v>622</v>
      </c>
      <c r="C11" s="120" t="s">
        <v>914</v>
      </c>
      <c r="D11" s="120"/>
      <c r="E11" s="120"/>
      <c r="F11" s="121" t="s">
        <v>915</v>
      </c>
    </row>
    <row r="12" spans="1:6" ht="49.5" customHeight="1" x14ac:dyDescent="0.25">
      <c r="A12" s="148" t="s">
        <v>17</v>
      </c>
      <c r="B12" s="120" t="s">
        <v>622</v>
      </c>
      <c r="C12" s="120" t="s">
        <v>916</v>
      </c>
      <c r="D12" s="120"/>
      <c r="E12" s="120"/>
      <c r="F12" s="121" t="s">
        <v>917</v>
      </c>
    </row>
    <row r="13" spans="1:6" ht="49.5" customHeight="1" x14ac:dyDescent="0.25">
      <c r="A13" s="148" t="s">
        <v>17</v>
      </c>
      <c r="B13" s="120" t="s">
        <v>622</v>
      </c>
      <c r="C13" s="120" t="s">
        <v>918</v>
      </c>
      <c r="D13" s="120"/>
      <c r="E13" s="120"/>
      <c r="F13" s="121" t="s">
        <v>919</v>
      </c>
    </row>
    <row r="14" spans="1:6" ht="91.5" customHeight="1" x14ac:dyDescent="0.25">
      <c r="A14" s="148" t="s">
        <v>30</v>
      </c>
      <c r="B14" s="120" t="s">
        <v>624</v>
      </c>
      <c r="C14" s="120" t="s">
        <v>920</v>
      </c>
      <c r="D14" s="120">
        <v>81.956400000000002</v>
      </c>
      <c r="E14" s="120" t="s">
        <v>32</v>
      </c>
      <c r="F14" s="121" t="s">
        <v>921</v>
      </c>
    </row>
    <row r="15" spans="1:6" ht="49.5" customHeight="1" x14ac:dyDescent="0.25">
      <c r="A15" s="148" t="s">
        <v>30</v>
      </c>
      <c r="B15" s="120" t="s">
        <v>624</v>
      </c>
      <c r="C15" s="120" t="s">
        <v>922</v>
      </c>
      <c r="D15" s="120"/>
      <c r="E15" s="120" t="s">
        <v>35</v>
      </c>
      <c r="F15" s="121" t="s">
        <v>923</v>
      </c>
    </row>
    <row r="16" spans="1:6" ht="91.5" customHeight="1" x14ac:dyDescent="0.25">
      <c r="A16" s="148" t="s">
        <v>30</v>
      </c>
      <c r="B16" s="120" t="s">
        <v>624</v>
      </c>
      <c r="C16" s="120" t="s">
        <v>924</v>
      </c>
      <c r="D16" s="120">
        <v>16.090900000000001</v>
      </c>
      <c r="E16" s="120" t="s">
        <v>32</v>
      </c>
      <c r="F16" s="121" t="s">
        <v>925</v>
      </c>
    </row>
    <row r="17" spans="1:6" ht="49.5" customHeight="1" x14ac:dyDescent="0.25">
      <c r="A17" s="148" t="s">
        <v>30</v>
      </c>
      <c r="B17" s="120" t="s">
        <v>624</v>
      </c>
      <c r="C17" s="120" t="s">
        <v>926</v>
      </c>
      <c r="D17" s="120"/>
      <c r="E17" s="120" t="s">
        <v>35</v>
      </c>
      <c r="F17" s="121" t="s">
        <v>927</v>
      </c>
    </row>
    <row r="18" spans="1:6" ht="63.75" customHeight="1" x14ac:dyDescent="0.25">
      <c r="A18" s="148" t="s">
        <v>30</v>
      </c>
      <c r="B18" s="120" t="s">
        <v>624</v>
      </c>
      <c r="C18" s="120" t="s">
        <v>928</v>
      </c>
      <c r="D18" s="120">
        <v>70.180000000000007</v>
      </c>
      <c r="E18" s="120" t="s">
        <v>32</v>
      </c>
      <c r="F18" s="121" t="s">
        <v>929</v>
      </c>
    </row>
    <row r="19" spans="1:6" ht="63.75" customHeight="1" x14ac:dyDescent="0.25">
      <c r="A19" s="148" t="s">
        <v>30</v>
      </c>
      <c r="B19" s="120" t="s">
        <v>624</v>
      </c>
      <c r="C19" s="120" t="s">
        <v>930</v>
      </c>
      <c r="D19" s="120"/>
      <c r="E19" s="120" t="s">
        <v>35</v>
      </c>
      <c r="F19" s="121" t="s">
        <v>931</v>
      </c>
    </row>
    <row r="20" spans="1:6" ht="63.75" customHeight="1" x14ac:dyDescent="0.25">
      <c r="A20" s="148" t="s">
        <v>30</v>
      </c>
      <c r="B20" s="120" t="s">
        <v>624</v>
      </c>
      <c r="C20" s="120" t="s">
        <v>932</v>
      </c>
      <c r="D20" s="120">
        <v>9.2249999999999996</v>
      </c>
      <c r="E20" s="120" t="s">
        <v>32</v>
      </c>
      <c r="F20" s="121" t="s">
        <v>933</v>
      </c>
    </row>
    <row r="21" spans="1:6" ht="49.5" customHeight="1" x14ac:dyDescent="0.25">
      <c r="A21" s="148" t="s">
        <v>30</v>
      </c>
      <c r="B21" s="120" t="s">
        <v>624</v>
      </c>
      <c r="C21" s="120" t="s">
        <v>934</v>
      </c>
      <c r="D21" s="120">
        <v>18.899999999999999</v>
      </c>
      <c r="E21" s="120" t="s">
        <v>32</v>
      </c>
      <c r="F21" s="121" t="s">
        <v>935</v>
      </c>
    </row>
    <row r="22" spans="1:6" ht="78" customHeight="1" x14ac:dyDescent="0.25">
      <c r="A22" s="148" t="s">
        <v>30</v>
      </c>
      <c r="B22" s="120" t="s">
        <v>624</v>
      </c>
      <c r="C22" s="120" t="s">
        <v>936</v>
      </c>
      <c r="D22" s="120">
        <v>32.892800000000001</v>
      </c>
      <c r="E22" s="120" t="s">
        <v>32</v>
      </c>
      <c r="F22" s="121" t="s">
        <v>937</v>
      </c>
    </row>
    <row r="23" spans="1:6" ht="49.5" customHeight="1" x14ac:dyDescent="0.25">
      <c r="A23" s="148" t="s">
        <v>30</v>
      </c>
      <c r="B23" s="120" t="s">
        <v>624</v>
      </c>
      <c r="C23" s="120" t="s">
        <v>938</v>
      </c>
      <c r="D23" s="120">
        <v>10.6556</v>
      </c>
      <c r="E23" s="120" t="s">
        <v>32</v>
      </c>
      <c r="F23" s="121" t="s">
        <v>939</v>
      </c>
    </row>
    <row r="24" spans="1:6" ht="105.75" customHeight="1" x14ac:dyDescent="0.25">
      <c r="A24" s="148" t="s">
        <v>30</v>
      </c>
      <c r="B24" s="120" t="s">
        <v>624</v>
      </c>
      <c r="C24" s="120" t="s">
        <v>940</v>
      </c>
      <c r="D24" s="120">
        <v>31.2072</v>
      </c>
      <c r="E24" s="120" t="s">
        <v>32</v>
      </c>
      <c r="F24" s="121" t="s">
        <v>941</v>
      </c>
    </row>
    <row r="25" spans="1:6" ht="49.5" customHeight="1" x14ac:dyDescent="0.25">
      <c r="A25" s="148" t="s">
        <v>30</v>
      </c>
      <c r="B25" s="120" t="s">
        <v>624</v>
      </c>
      <c r="C25" s="120" t="s">
        <v>942</v>
      </c>
      <c r="D25" s="120"/>
      <c r="E25" s="120" t="s">
        <v>35</v>
      </c>
      <c r="F25" s="121" t="s">
        <v>943</v>
      </c>
    </row>
    <row r="26" spans="1:6" ht="36" customHeight="1" x14ac:dyDescent="0.25">
      <c r="A26" s="148" t="s">
        <v>30</v>
      </c>
      <c r="B26" s="120" t="s">
        <v>624</v>
      </c>
      <c r="C26" s="120" t="s">
        <v>944</v>
      </c>
      <c r="D26" s="120"/>
      <c r="E26" s="120" t="s">
        <v>35</v>
      </c>
      <c r="F26" s="121" t="s">
        <v>945</v>
      </c>
    </row>
    <row r="27" spans="1:6" ht="49.5" customHeight="1" x14ac:dyDescent="0.25">
      <c r="A27" s="148" t="s">
        <v>46</v>
      </c>
      <c r="B27" s="120" t="s">
        <v>624</v>
      </c>
      <c r="C27" s="120" t="s">
        <v>946</v>
      </c>
      <c r="D27" s="120">
        <v>15.83</v>
      </c>
      <c r="E27" s="120" t="s">
        <v>21</v>
      </c>
      <c r="F27" s="121" t="s">
        <v>947</v>
      </c>
    </row>
    <row r="28" spans="1:6" ht="91.5" customHeight="1" x14ac:dyDescent="0.25">
      <c r="A28" s="148" t="s">
        <v>50</v>
      </c>
      <c r="B28" s="120" t="s">
        <v>625</v>
      </c>
      <c r="C28" s="120" t="s">
        <v>948</v>
      </c>
      <c r="D28" s="120">
        <v>12552.05</v>
      </c>
      <c r="E28" s="120" t="s">
        <v>52</v>
      </c>
      <c r="F28" s="121" t="s">
        <v>949</v>
      </c>
    </row>
    <row r="29" spans="1:6" ht="49.5" customHeight="1" x14ac:dyDescent="0.25">
      <c r="A29" s="148" t="s">
        <v>50</v>
      </c>
      <c r="B29" s="120" t="s">
        <v>625</v>
      </c>
      <c r="C29" s="120" t="s">
        <v>950</v>
      </c>
      <c r="D29" s="120">
        <v>5945.88</v>
      </c>
      <c r="E29" s="120" t="s">
        <v>52</v>
      </c>
      <c r="F29" s="121" t="s">
        <v>951</v>
      </c>
    </row>
    <row r="30" spans="1:6" ht="49.5" customHeight="1" x14ac:dyDescent="0.25">
      <c r="A30" s="148" t="s">
        <v>50</v>
      </c>
      <c r="B30" s="120" t="s">
        <v>625</v>
      </c>
      <c r="C30" s="120" t="s">
        <v>952</v>
      </c>
      <c r="D30" s="120">
        <v>12066.03</v>
      </c>
      <c r="E30" s="120" t="s">
        <v>52</v>
      </c>
      <c r="F30" s="121" t="s">
        <v>953</v>
      </c>
    </row>
    <row r="31" spans="1:6" ht="36" customHeight="1" x14ac:dyDescent="0.25">
      <c r="A31" s="148" t="s">
        <v>50</v>
      </c>
      <c r="B31" s="120" t="s">
        <v>625</v>
      </c>
      <c r="C31" s="120" t="s">
        <v>954</v>
      </c>
      <c r="D31" s="120">
        <v>518.13</v>
      </c>
      <c r="E31" s="120" t="s">
        <v>52</v>
      </c>
      <c r="F31" s="121" t="s">
        <v>955</v>
      </c>
    </row>
    <row r="32" spans="1:6" ht="36" customHeight="1" x14ac:dyDescent="0.25">
      <c r="A32" s="148" t="s">
        <v>50</v>
      </c>
      <c r="B32" s="120" t="s">
        <v>625</v>
      </c>
      <c r="C32" s="120" t="s">
        <v>956</v>
      </c>
      <c r="D32" s="120"/>
      <c r="E32" s="120"/>
      <c r="F32" s="121" t="s">
        <v>957</v>
      </c>
    </row>
    <row r="33" spans="1:6" ht="49.5" customHeight="1" x14ac:dyDescent="0.25">
      <c r="A33" s="148" t="s">
        <v>50</v>
      </c>
      <c r="B33" s="120" t="s">
        <v>625</v>
      </c>
      <c r="C33" s="120" t="s">
        <v>958</v>
      </c>
      <c r="D33" s="120">
        <v>13189.5</v>
      </c>
      <c r="E33" s="120" t="s">
        <v>26</v>
      </c>
      <c r="F33" s="121" t="s">
        <v>959</v>
      </c>
    </row>
    <row r="34" spans="1:6" ht="49.5" customHeight="1" x14ac:dyDescent="0.25">
      <c r="A34" s="148" t="s">
        <v>50</v>
      </c>
      <c r="B34" s="120" t="s">
        <v>625</v>
      </c>
      <c r="C34" s="120" t="s">
        <v>960</v>
      </c>
      <c r="D34" s="120">
        <v>9792</v>
      </c>
      <c r="E34" s="120" t="s">
        <v>26</v>
      </c>
      <c r="F34" s="121" t="s">
        <v>961</v>
      </c>
    </row>
    <row r="35" spans="1:6" ht="36" customHeight="1" x14ac:dyDescent="0.25">
      <c r="A35" s="148" t="s">
        <v>50</v>
      </c>
      <c r="B35" s="120" t="s">
        <v>625</v>
      </c>
      <c r="C35" s="120" t="s">
        <v>962</v>
      </c>
      <c r="D35" s="120">
        <v>3524</v>
      </c>
      <c r="E35" s="120" t="s">
        <v>26</v>
      </c>
      <c r="F35" s="121" t="s">
        <v>963</v>
      </c>
    </row>
    <row r="36" spans="1:6" ht="36" customHeight="1" x14ac:dyDescent="0.25">
      <c r="A36" s="148" t="s">
        <v>50</v>
      </c>
      <c r="B36" s="120" t="s">
        <v>625</v>
      </c>
      <c r="C36" s="120" t="s">
        <v>964</v>
      </c>
      <c r="D36" s="120">
        <v>1249.5999999999999</v>
      </c>
      <c r="E36" s="120" t="s">
        <v>26</v>
      </c>
      <c r="F36" s="121" t="s">
        <v>965</v>
      </c>
    </row>
    <row r="37" spans="1:6" ht="36" customHeight="1" x14ac:dyDescent="0.25">
      <c r="A37" s="148" t="s">
        <v>50</v>
      </c>
      <c r="B37" s="120" t="s">
        <v>625</v>
      </c>
      <c r="C37" s="120" t="s">
        <v>966</v>
      </c>
      <c r="D37" s="120">
        <v>852.9</v>
      </c>
      <c r="E37" s="120" t="s">
        <v>26</v>
      </c>
      <c r="F37" s="121" t="s">
        <v>967</v>
      </c>
    </row>
    <row r="38" spans="1:6" ht="49.5" customHeight="1" x14ac:dyDescent="0.25">
      <c r="A38" s="148" t="s">
        <v>50</v>
      </c>
      <c r="B38" s="120" t="s">
        <v>625</v>
      </c>
      <c r="C38" s="120" t="s">
        <v>968</v>
      </c>
      <c r="D38" s="120">
        <v>1</v>
      </c>
      <c r="E38" s="120" t="s">
        <v>19</v>
      </c>
      <c r="F38" s="121" t="s">
        <v>969</v>
      </c>
    </row>
    <row r="39" spans="1:6" ht="78" customHeight="1" x14ac:dyDescent="0.25">
      <c r="A39" s="148" t="s">
        <v>50</v>
      </c>
      <c r="B39" s="120" t="s">
        <v>625</v>
      </c>
      <c r="C39" s="120" t="s">
        <v>970</v>
      </c>
      <c r="D39" s="120"/>
      <c r="E39" s="120"/>
      <c r="F39" s="121" t="s">
        <v>971</v>
      </c>
    </row>
    <row r="40" spans="1:6" ht="49.5" customHeight="1" x14ac:dyDescent="0.25">
      <c r="A40" s="148" t="s">
        <v>65</v>
      </c>
      <c r="B40" s="120" t="s">
        <v>627</v>
      </c>
      <c r="C40" s="120" t="s">
        <v>972</v>
      </c>
      <c r="D40" s="120"/>
      <c r="E40" s="120"/>
      <c r="F40" s="121" t="s">
        <v>973</v>
      </c>
    </row>
    <row r="41" spans="1:6" ht="36" customHeight="1" x14ac:dyDescent="0.25">
      <c r="A41" s="148" t="s">
        <v>65</v>
      </c>
      <c r="B41" s="120" t="s">
        <v>627</v>
      </c>
      <c r="C41" s="120" t="s">
        <v>974</v>
      </c>
      <c r="D41" s="120"/>
      <c r="E41" s="120"/>
      <c r="F41" s="121" t="s">
        <v>975</v>
      </c>
    </row>
    <row r="42" spans="1:6" ht="36" customHeight="1" x14ac:dyDescent="0.25">
      <c r="A42" s="148" t="s">
        <v>65</v>
      </c>
      <c r="B42" s="120" t="s">
        <v>627</v>
      </c>
      <c r="C42" s="120" t="s">
        <v>976</v>
      </c>
      <c r="D42" s="120"/>
      <c r="E42" s="120"/>
      <c r="F42" s="121" t="s">
        <v>977</v>
      </c>
    </row>
    <row r="43" spans="1:6" ht="78" customHeight="1" x14ac:dyDescent="0.25">
      <c r="A43" s="148" t="s">
        <v>65</v>
      </c>
      <c r="B43" s="120" t="s">
        <v>627</v>
      </c>
      <c r="C43" s="120" t="s">
        <v>978</v>
      </c>
      <c r="D43" s="120"/>
      <c r="E43" s="120"/>
      <c r="F43" s="121" t="s">
        <v>979</v>
      </c>
    </row>
    <row r="44" spans="1:6" ht="49.5" customHeight="1" x14ac:dyDescent="0.25">
      <c r="A44" s="148" t="s">
        <v>65</v>
      </c>
      <c r="B44" s="120" t="s">
        <v>627</v>
      </c>
      <c r="C44" s="120" t="s">
        <v>980</v>
      </c>
      <c r="D44" s="120"/>
      <c r="E44" s="120"/>
      <c r="F44" s="121" t="s">
        <v>981</v>
      </c>
    </row>
    <row r="45" spans="1:6" ht="91.5" customHeight="1" x14ac:dyDescent="0.25">
      <c r="A45" s="148" t="s">
        <v>65</v>
      </c>
      <c r="B45" s="120" t="s">
        <v>627</v>
      </c>
      <c r="C45" s="120" t="s">
        <v>982</v>
      </c>
      <c r="D45" s="120"/>
      <c r="E45" s="120"/>
      <c r="F45" s="121" t="s">
        <v>983</v>
      </c>
    </row>
    <row r="46" spans="1:6" ht="78" customHeight="1" x14ac:dyDescent="0.25">
      <c r="A46" s="148" t="s">
        <v>72</v>
      </c>
      <c r="B46" s="120" t="s">
        <v>627</v>
      </c>
      <c r="C46" s="120" t="s">
        <v>984</v>
      </c>
      <c r="D46" s="120"/>
      <c r="E46" s="120"/>
      <c r="F46" s="121" t="s">
        <v>985</v>
      </c>
    </row>
    <row r="47" spans="1:6" ht="78" customHeight="1" x14ac:dyDescent="0.25">
      <c r="A47" s="148" t="s">
        <v>72</v>
      </c>
      <c r="B47" s="120" t="s">
        <v>627</v>
      </c>
      <c r="C47" s="120" t="s">
        <v>986</v>
      </c>
      <c r="D47" s="120"/>
      <c r="E47" s="120"/>
      <c r="F47" s="121" t="s">
        <v>987</v>
      </c>
    </row>
    <row r="48" spans="1:6" ht="91.5" customHeight="1" x14ac:dyDescent="0.25">
      <c r="A48" s="148" t="s">
        <v>72</v>
      </c>
      <c r="B48" s="120" t="s">
        <v>627</v>
      </c>
      <c r="C48" s="120" t="s">
        <v>988</v>
      </c>
      <c r="D48" s="120"/>
      <c r="E48" s="120"/>
      <c r="F48" s="121" t="s">
        <v>989</v>
      </c>
    </row>
    <row r="49" spans="1:6" ht="36" customHeight="1" x14ac:dyDescent="0.25">
      <c r="A49" s="148" t="s">
        <v>72</v>
      </c>
      <c r="B49" s="120" t="s">
        <v>627</v>
      </c>
      <c r="C49" s="120" t="s">
        <v>990</v>
      </c>
      <c r="D49" s="120"/>
      <c r="E49" s="120"/>
      <c r="F49" s="121" t="s">
        <v>989</v>
      </c>
    </row>
    <row r="50" spans="1:6" ht="63.75" customHeight="1" x14ac:dyDescent="0.25">
      <c r="A50" s="148" t="s">
        <v>72</v>
      </c>
      <c r="B50" s="120" t="s">
        <v>627</v>
      </c>
      <c r="C50" s="120" t="s">
        <v>991</v>
      </c>
      <c r="D50" s="120"/>
      <c r="E50" s="120"/>
      <c r="F50" s="121" t="s">
        <v>992</v>
      </c>
    </row>
    <row r="51" spans="1:6" ht="49.5" customHeight="1" x14ac:dyDescent="0.25">
      <c r="A51" s="148" t="s">
        <v>80</v>
      </c>
      <c r="B51" s="120" t="s">
        <v>628</v>
      </c>
      <c r="C51" s="120" t="s">
        <v>993</v>
      </c>
      <c r="D51" s="120"/>
      <c r="E51" s="120"/>
      <c r="F51" s="121" t="s">
        <v>994</v>
      </c>
    </row>
    <row r="52" spans="1:6" ht="36" customHeight="1" x14ac:dyDescent="0.25">
      <c r="A52" s="148" t="s">
        <v>80</v>
      </c>
      <c r="B52" s="120" t="s">
        <v>628</v>
      </c>
      <c r="C52" s="120" t="s">
        <v>995</v>
      </c>
      <c r="D52" s="120"/>
      <c r="E52" s="120"/>
      <c r="F52" s="121" t="s">
        <v>996</v>
      </c>
    </row>
    <row r="53" spans="1:6" ht="63.75" customHeight="1" x14ac:dyDescent="0.25">
      <c r="A53" s="148" t="s">
        <v>80</v>
      </c>
      <c r="B53" s="120" t="s">
        <v>628</v>
      </c>
      <c r="C53" s="120" t="s">
        <v>997</v>
      </c>
      <c r="D53" s="120"/>
      <c r="E53" s="120"/>
      <c r="F53" s="121" t="s">
        <v>998</v>
      </c>
    </row>
    <row r="54" spans="1:6" ht="49.5" customHeight="1" x14ac:dyDescent="0.25">
      <c r="A54" s="148" t="s">
        <v>80</v>
      </c>
      <c r="B54" s="120" t="s">
        <v>628</v>
      </c>
      <c r="C54" s="120" t="s">
        <v>999</v>
      </c>
      <c r="D54" s="120">
        <v>1303.72</v>
      </c>
      <c r="E54" s="120" t="s">
        <v>23</v>
      </c>
      <c r="F54" s="121" t="s">
        <v>1000</v>
      </c>
    </row>
    <row r="55" spans="1:6" ht="63.75" customHeight="1" x14ac:dyDescent="0.25">
      <c r="A55" s="148" t="s">
        <v>80</v>
      </c>
      <c r="B55" s="120" t="s">
        <v>628</v>
      </c>
      <c r="C55" s="120" t="s">
        <v>1001</v>
      </c>
      <c r="D55" s="120">
        <v>1</v>
      </c>
      <c r="E55" s="120" t="s">
        <v>19</v>
      </c>
      <c r="F55" s="121" t="s">
        <v>1002</v>
      </c>
    </row>
    <row r="56" spans="1:6" ht="105.75" customHeight="1" x14ac:dyDescent="0.25">
      <c r="A56" s="148" t="s">
        <v>80</v>
      </c>
      <c r="B56" s="120" t="s">
        <v>628</v>
      </c>
      <c r="C56" s="120" t="s">
        <v>1003</v>
      </c>
      <c r="D56" s="120">
        <v>1102.55</v>
      </c>
      <c r="E56" s="120" t="s">
        <v>23</v>
      </c>
      <c r="F56" s="121" t="s">
        <v>1004</v>
      </c>
    </row>
    <row r="57" spans="1:6" ht="36" customHeight="1" x14ac:dyDescent="0.25">
      <c r="A57" s="148" t="s">
        <v>80</v>
      </c>
      <c r="B57" s="120" t="s">
        <v>628</v>
      </c>
      <c r="C57" s="120" t="s">
        <v>1005</v>
      </c>
      <c r="D57" s="120"/>
      <c r="E57" s="120"/>
      <c r="F57" s="121" t="s">
        <v>1006</v>
      </c>
    </row>
    <row r="58" spans="1:6" ht="36" customHeight="1" x14ac:dyDescent="0.25">
      <c r="A58" s="148" t="s">
        <v>80</v>
      </c>
      <c r="B58" s="120" t="s">
        <v>628</v>
      </c>
      <c r="C58" s="120" t="s">
        <v>1007</v>
      </c>
      <c r="D58" s="120"/>
      <c r="E58" s="120"/>
      <c r="F58" s="121" t="s">
        <v>1008</v>
      </c>
    </row>
    <row r="59" spans="1:6" ht="36" customHeight="1" x14ac:dyDescent="0.25">
      <c r="A59" s="148" t="s">
        <v>80</v>
      </c>
      <c r="B59" s="120" t="s">
        <v>628</v>
      </c>
      <c r="C59" s="120" t="s">
        <v>1009</v>
      </c>
      <c r="D59" s="120"/>
      <c r="E59" s="120"/>
      <c r="F59" s="121" t="s">
        <v>1010</v>
      </c>
    </row>
    <row r="60" spans="1:6" ht="91.5" customHeight="1" x14ac:dyDescent="0.25">
      <c r="A60" s="148" t="s">
        <v>80</v>
      </c>
      <c r="B60" s="120" t="s">
        <v>628</v>
      </c>
      <c r="C60" s="120" t="s">
        <v>1011</v>
      </c>
      <c r="D60" s="120">
        <v>148.5</v>
      </c>
      <c r="E60" s="120" t="s">
        <v>23</v>
      </c>
      <c r="F60" s="121" t="s">
        <v>1012</v>
      </c>
    </row>
    <row r="61" spans="1:6" ht="105.75" customHeight="1" x14ac:dyDescent="0.25">
      <c r="A61" s="148" t="s">
        <v>80</v>
      </c>
      <c r="B61" s="120" t="s">
        <v>628</v>
      </c>
      <c r="C61" s="120" t="s">
        <v>1013</v>
      </c>
      <c r="D61" s="120">
        <v>1160.3</v>
      </c>
      <c r="E61" s="120" t="s">
        <v>23</v>
      </c>
      <c r="F61" s="121" t="s">
        <v>1014</v>
      </c>
    </row>
    <row r="62" spans="1:6" ht="91.5" customHeight="1" x14ac:dyDescent="0.25">
      <c r="A62" s="148" t="s">
        <v>80</v>
      </c>
      <c r="B62" s="120" t="s">
        <v>628</v>
      </c>
      <c r="C62" s="120" t="s">
        <v>1015</v>
      </c>
      <c r="D62" s="120"/>
      <c r="E62" s="120"/>
      <c r="F62" s="121" t="s">
        <v>1016</v>
      </c>
    </row>
    <row r="63" spans="1:6" ht="36" customHeight="1" x14ac:dyDescent="0.25">
      <c r="A63" s="148" t="s">
        <v>80</v>
      </c>
      <c r="B63" s="120" t="s">
        <v>628</v>
      </c>
      <c r="C63" s="120" t="s">
        <v>1017</v>
      </c>
      <c r="D63" s="120"/>
      <c r="E63" s="120"/>
      <c r="F63" s="121" t="s">
        <v>1018</v>
      </c>
    </row>
    <row r="64" spans="1:6" ht="36" customHeight="1" x14ac:dyDescent="0.25">
      <c r="A64" s="148" t="s">
        <v>80</v>
      </c>
      <c r="B64" s="120" t="s">
        <v>628</v>
      </c>
      <c r="C64" s="120" t="s">
        <v>1019</v>
      </c>
      <c r="D64" s="120"/>
      <c r="E64" s="120"/>
      <c r="F64" s="121" t="s">
        <v>1020</v>
      </c>
    </row>
    <row r="65" spans="1:6" ht="36" customHeight="1" x14ac:dyDescent="0.25">
      <c r="A65" s="148" t="s">
        <v>80</v>
      </c>
      <c r="B65" s="120" t="s">
        <v>628</v>
      </c>
      <c r="C65" s="120" t="s">
        <v>1021</v>
      </c>
      <c r="D65" s="120"/>
      <c r="E65" s="120"/>
      <c r="F65" s="121" t="s">
        <v>979</v>
      </c>
    </row>
    <row r="66" spans="1:6" ht="49.5" customHeight="1" x14ac:dyDescent="0.25">
      <c r="A66" s="148" t="s">
        <v>80</v>
      </c>
      <c r="B66" s="120" t="s">
        <v>628</v>
      </c>
      <c r="C66" s="120" t="s">
        <v>1022</v>
      </c>
      <c r="D66" s="120"/>
      <c r="E66" s="120"/>
      <c r="F66" s="121" t="s">
        <v>1023</v>
      </c>
    </row>
    <row r="67" spans="1:6" ht="63.75" customHeight="1" x14ac:dyDescent="0.25">
      <c r="A67" s="148" t="s">
        <v>80</v>
      </c>
      <c r="B67" s="120" t="s">
        <v>628</v>
      </c>
      <c r="C67" s="120" t="s">
        <v>1024</v>
      </c>
      <c r="D67" s="120">
        <v>218.34</v>
      </c>
      <c r="E67" s="120" t="s">
        <v>23</v>
      </c>
      <c r="F67" s="121" t="s">
        <v>1025</v>
      </c>
    </row>
    <row r="68" spans="1:6" ht="63.75" customHeight="1" x14ac:dyDescent="0.25">
      <c r="A68" s="148" t="s">
        <v>80</v>
      </c>
      <c r="B68" s="120" t="s">
        <v>628</v>
      </c>
      <c r="C68" s="120" t="s">
        <v>1026</v>
      </c>
      <c r="D68" s="120"/>
      <c r="E68" s="120"/>
      <c r="F68" s="121" t="s">
        <v>1027</v>
      </c>
    </row>
    <row r="69" spans="1:6" ht="49.5" customHeight="1" x14ac:dyDescent="0.25">
      <c r="A69" s="148" t="s">
        <v>80</v>
      </c>
      <c r="B69" s="120" t="s">
        <v>628</v>
      </c>
      <c r="C69" s="120" t="s">
        <v>1028</v>
      </c>
      <c r="D69" s="120"/>
      <c r="E69" s="120"/>
      <c r="F69" s="121" t="s">
        <v>1029</v>
      </c>
    </row>
    <row r="70" spans="1:6" ht="49.5" customHeight="1" x14ac:dyDescent="0.25">
      <c r="A70" s="148" t="s">
        <v>80</v>
      </c>
      <c r="B70" s="120" t="s">
        <v>628</v>
      </c>
      <c r="C70" s="120" t="s">
        <v>1030</v>
      </c>
      <c r="D70" s="120"/>
      <c r="E70" s="120"/>
      <c r="F70" s="121" t="s">
        <v>1031</v>
      </c>
    </row>
    <row r="71" spans="1:6" ht="63.75" customHeight="1" x14ac:dyDescent="0.25">
      <c r="A71" s="148" t="s">
        <v>80</v>
      </c>
      <c r="B71" s="120" t="s">
        <v>628</v>
      </c>
      <c r="C71" s="120" t="s">
        <v>1032</v>
      </c>
      <c r="D71" s="120"/>
      <c r="E71" s="120"/>
      <c r="F71" s="121" t="s">
        <v>1033</v>
      </c>
    </row>
    <row r="72" spans="1:6" ht="49.5" customHeight="1" x14ac:dyDescent="0.25">
      <c r="A72" s="148" t="s">
        <v>80</v>
      </c>
      <c r="B72" s="120" t="s">
        <v>628</v>
      </c>
      <c r="C72" s="120" t="s">
        <v>1034</v>
      </c>
      <c r="D72" s="120"/>
      <c r="E72" s="120"/>
      <c r="F72" s="121" t="s">
        <v>1035</v>
      </c>
    </row>
    <row r="73" spans="1:6" ht="36" customHeight="1" x14ac:dyDescent="0.25">
      <c r="A73" s="148" t="s">
        <v>80</v>
      </c>
      <c r="B73" s="120" t="s">
        <v>628</v>
      </c>
      <c r="C73" s="120" t="s">
        <v>1036</v>
      </c>
      <c r="D73" s="120"/>
      <c r="E73" s="120"/>
      <c r="F73" s="121" t="s">
        <v>1037</v>
      </c>
    </row>
    <row r="74" spans="1:6" ht="63.75" customHeight="1" x14ac:dyDescent="0.25">
      <c r="A74" s="148" t="s">
        <v>117</v>
      </c>
      <c r="B74" s="120" t="s">
        <v>629</v>
      </c>
      <c r="C74" s="120" t="s">
        <v>1038</v>
      </c>
      <c r="D74" s="120">
        <v>2405.66</v>
      </c>
      <c r="E74" s="120" t="s">
        <v>23</v>
      </c>
      <c r="F74" s="121" t="s">
        <v>1039</v>
      </c>
    </row>
    <row r="75" spans="1:6" ht="36" customHeight="1" x14ac:dyDescent="0.25">
      <c r="A75" s="148" t="s">
        <v>117</v>
      </c>
      <c r="B75" s="120" t="s">
        <v>629</v>
      </c>
      <c r="C75" s="120" t="s">
        <v>1040</v>
      </c>
      <c r="D75" s="120"/>
      <c r="E75" s="120"/>
      <c r="F75" s="121" t="s">
        <v>1041</v>
      </c>
    </row>
    <row r="76" spans="1:6" ht="36" customHeight="1" x14ac:dyDescent="0.25">
      <c r="A76" s="148" t="s">
        <v>117</v>
      </c>
      <c r="B76" s="120" t="s">
        <v>629</v>
      </c>
      <c r="C76" s="120" t="s">
        <v>1042</v>
      </c>
      <c r="D76" s="120"/>
      <c r="E76" s="120"/>
      <c r="F76" s="121" t="s">
        <v>1043</v>
      </c>
    </row>
    <row r="77" spans="1:6" ht="36" customHeight="1" x14ac:dyDescent="0.25">
      <c r="A77" s="148" t="s">
        <v>117</v>
      </c>
      <c r="B77" s="120" t="s">
        <v>629</v>
      </c>
      <c r="C77" s="120" t="s">
        <v>1044</v>
      </c>
      <c r="D77" s="120"/>
      <c r="E77" s="120"/>
      <c r="F77" s="121" t="s">
        <v>1045</v>
      </c>
    </row>
    <row r="78" spans="1:6" ht="36" customHeight="1" x14ac:dyDescent="0.25">
      <c r="A78" s="148" t="s">
        <v>117</v>
      </c>
      <c r="B78" s="120" t="s">
        <v>629</v>
      </c>
      <c r="C78" s="120" t="s">
        <v>1046</v>
      </c>
      <c r="D78" s="120"/>
      <c r="E78" s="120"/>
      <c r="F78" s="121" t="s">
        <v>1047</v>
      </c>
    </row>
    <row r="79" spans="1:6" ht="63.75" customHeight="1" x14ac:dyDescent="0.25">
      <c r="A79" s="148" t="s">
        <v>123</v>
      </c>
      <c r="B79" s="120" t="s">
        <v>631</v>
      </c>
      <c r="C79" s="120" t="s">
        <v>1048</v>
      </c>
      <c r="D79" s="120"/>
      <c r="E79" s="120"/>
      <c r="F79" s="121" t="s">
        <v>1049</v>
      </c>
    </row>
    <row r="80" spans="1:6" ht="49.5" customHeight="1" x14ac:dyDescent="0.25">
      <c r="A80" s="148" t="s">
        <v>123</v>
      </c>
      <c r="B80" s="120" t="s">
        <v>631</v>
      </c>
      <c r="C80" s="120" t="s">
        <v>1050</v>
      </c>
      <c r="D80" s="120"/>
      <c r="E80" s="120"/>
      <c r="F80" s="121" t="s">
        <v>1051</v>
      </c>
    </row>
    <row r="81" spans="1:6" ht="36" customHeight="1" x14ac:dyDescent="0.25">
      <c r="A81" s="148" t="s">
        <v>123</v>
      </c>
      <c r="B81" s="120" t="s">
        <v>631</v>
      </c>
      <c r="C81" s="120" t="s">
        <v>1052</v>
      </c>
      <c r="D81" s="120"/>
      <c r="E81" s="120"/>
      <c r="F81" s="121" t="s">
        <v>1053</v>
      </c>
    </row>
    <row r="82" spans="1:6" ht="63.75" customHeight="1" x14ac:dyDescent="0.25">
      <c r="A82" s="148" t="s">
        <v>123</v>
      </c>
      <c r="B82" s="120" t="s">
        <v>631</v>
      </c>
      <c r="C82" s="120" t="s">
        <v>1054</v>
      </c>
      <c r="D82" s="120"/>
      <c r="E82" s="120"/>
      <c r="F82" s="121" t="s">
        <v>979</v>
      </c>
    </row>
    <row r="83" spans="1:6" ht="49.5" customHeight="1" x14ac:dyDescent="0.25">
      <c r="A83" s="148" t="s">
        <v>123</v>
      </c>
      <c r="B83" s="120" t="s">
        <v>631</v>
      </c>
      <c r="C83" s="120" t="s">
        <v>1055</v>
      </c>
      <c r="D83" s="120"/>
      <c r="E83" s="120"/>
      <c r="F83" s="121" t="s">
        <v>979</v>
      </c>
    </row>
    <row r="84" spans="1:6" ht="36" customHeight="1" x14ac:dyDescent="0.25">
      <c r="A84" s="148" t="s">
        <v>123</v>
      </c>
      <c r="B84" s="120" t="s">
        <v>631</v>
      </c>
      <c r="C84" s="120" t="s">
        <v>1056</v>
      </c>
      <c r="D84" s="120"/>
      <c r="E84" s="120"/>
      <c r="F84" s="121" t="s">
        <v>1057</v>
      </c>
    </row>
    <row r="85" spans="1:6" ht="49.5" customHeight="1" x14ac:dyDescent="0.25">
      <c r="A85" s="148" t="s">
        <v>123</v>
      </c>
      <c r="B85" s="120" t="s">
        <v>631</v>
      </c>
      <c r="C85" s="120" t="s">
        <v>1058</v>
      </c>
      <c r="D85" s="120"/>
      <c r="E85" s="120"/>
      <c r="F85" s="121" t="s">
        <v>1059</v>
      </c>
    </row>
    <row r="86" spans="1:6" ht="49.5" customHeight="1" x14ac:dyDescent="0.25">
      <c r="A86" s="148" t="s">
        <v>123</v>
      </c>
      <c r="B86" s="120" t="s">
        <v>631</v>
      </c>
      <c r="C86" s="120" t="s">
        <v>1060</v>
      </c>
      <c r="D86" s="120"/>
      <c r="E86" s="120"/>
      <c r="F86" s="121" t="s">
        <v>1061</v>
      </c>
    </row>
    <row r="87" spans="1:6" ht="36" customHeight="1" x14ac:dyDescent="0.25">
      <c r="A87" s="148" t="s">
        <v>123</v>
      </c>
      <c r="B87" s="120" t="s">
        <v>631</v>
      </c>
      <c r="C87" s="120" t="s">
        <v>1062</v>
      </c>
      <c r="D87" s="120"/>
      <c r="E87" s="120"/>
      <c r="F87" s="121" t="s">
        <v>1063</v>
      </c>
    </row>
    <row r="88" spans="1:6" ht="49.5" customHeight="1" x14ac:dyDescent="0.25">
      <c r="A88" s="148" t="s">
        <v>123</v>
      </c>
      <c r="B88" s="120" t="s">
        <v>631</v>
      </c>
      <c r="C88" s="120" t="s">
        <v>1064</v>
      </c>
      <c r="D88" s="120"/>
      <c r="E88" s="120"/>
      <c r="F88" s="121" t="s">
        <v>1065</v>
      </c>
    </row>
    <row r="89" spans="1:6" ht="49.5" customHeight="1" x14ac:dyDescent="0.25">
      <c r="A89" s="148" t="s">
        <v>125</v>
      </c>
      <c r="B89" s="120" t="s">
        <v>631</v>
      </c>
      <c r="C89" s="120" t="s">
        <v>1066</v>
      </c>
      <c r="D89" s="120"/>
      <c r="E89" s="120"/>
      <c r="F89" s="121" t="s">
        <v>1067</v>
      </c>
    </row>
    <row r="90" spans="1:6" ht="36" customHeight="1" x14ac:dyDescent="0.25">
      <c r="A90" s="148" t="s">
        <v>125</v>
      </c>
      <c r="B90" s="120" t="s">
        <v>631</v>
      </c>
      <c r="C90" s="120" t="s">
        <v>1068</v>
      </c>
      <c r="D90" s="120"/>
      <c r="E90" s="120"/>
      <c r="F90" s="121" t="s">
        <v>1033</v>
      </c>
    </row>
    <row r="91" spans="1:6" ht="49.5" customHeight="1" x14ac:dyDescent="0.25">
      <c r="A91" s="148" t="s">
        <v>125</v>
      </c>
      <c r="B91" s="120" t="s">
        <v>631</v>
      </c>
      <c r="C91" s="120" t="s">
        <v>1069</v>
      </c>
      <c r="D91" s="120"/>
      <c r="E91" s="120"/>
      <c r="F91" s="121" t="s">
        <v>1033</v>
      </c>
    </row>
    <row r="92" spans="1:6" ht="49.5" customHeight="1" x14ac:dyDescent="0.25">
      <c r="A92" s="148" t="s">
        <v>125</v>
      </c>
      <c r="B92" s="120" t="s">
        <v>631</v>
      </c>
      <c r="C92" s="120" t="s">
        <v>1070</v>
      </c>
      <c r="D92" s="120"/>
      <c r="E92" s="120"/>
      <c r="F92" s="121" t="s">
        <v>1071</v>
      </c>
    </row>
    <row r="93" spans="1:6" ht="63.75" customHeight="1" x14ac:dyDescent="0.25">
      <c r="A93" s="148" t="s">
        <v>134</v>
      </c>
      <c r="B93" s="120" t="s">
        <v>632</v>
      </c>
      <c r="C93" s="120" t="s">
        <v>1072</v>
      </c>
      <c r="D93" s="120"/>
      <c r="E93" s="120"/>
      <c r="F93" s="121" t="s">
        <v>1073</v>
      </c>
    </row>
    <row r="94" spans="1:6" ht="36" customHeight="1" x14ac:dyDescent="0.25">
      <c r="A94" s="148" t="s">
        <v>134</v>
      </c>
      <c r="B94" s="120" t="s">
        <v>632</v>
      </c>
      <c r="C94" s="120" t="s">
        <v>1074</v>
      </c>
      <c r="D94" s="120"/>
      <c r="E94" s="120"/>
      <c r="F94" s="121" t="s">
        <v>1075</v>
      </c>
    </row>
    <row r="95" spans="1:6" ht="49.5" customHeight="1" x14ac:dyDescent="0.25">
      <c r="A95" s="148" t="s">
        <v>134</v>
      </c>
      <c r="B95" s="120" t="s">
        <v>632</v>
      </c>
      <c r="C95" s="120" t="s">
        <v>1076</v>
      </c>
      <c r="D95" s="120"/>
      <c r="E95" s="120"/>
      <c r="F95" s="121" t="s">
        <v>1077</v>
      </c>
    </row>
    <row r="96" spans="1:6" ht="36" customHeight="1" x14ac:dyDescent="0.25">
      <c r="A96" s="148" t="s">
        <v>134</v>
      </c>
      <c r="B96" s="120" t="s">
        <v>632</v>
      </c>
      <c r="C96" s="120" t="s">
        <v>1078</v>
      </c>
      <c r="D96" s="120"/>
      <c r="E96" s="120"/>
      <c r="F96" s="121" t="s">
        <v>1079</v>
      </c>
    </row>
    <row r="97" spans="1:6" ht="36" customHeight="1" x14ac:dyDescent="0.25">
      <c r="A97" s="148" t="s">
        <v>134</v>
      </c>
      <c r="B97" s="120" t="s">
        <v>632</v>
      </c>
      <c r="C97" s="120" t="s">
        <v>1080</v>
      </c>
      <c r="D97" s="120"/>
      <c r="E97" s="120"/>
      <c r="F97" s="121" t="s">
        <v>1081</v>
      </c>
    </row>
    <row r="98" spans="1:6" ht="91.5" customHeight="1" x14ac:dyDescent="0.25">
      <c r="A98" s="148" t="s">
        <v>134</v>
      </c>
      <c r="B98" s="120" t="s">
        <v>632</v>
      </c>
      <c r="C98" s="120" t="s">
        <v>1082</v>
      </c>
      <c r="D98" s="120"/>
      <c r="E98" s="120"/>
      <c r="F98" s="121" t="s">
        <v>1083</v>
      </c>
    </row>
    <row r="99" spans="1:6" ht="49.5" customHeight="1" x14ac:dyDescent="0.25">
      <c r="A99" s="148" t="s">
        <v>134</v>
      </c>
      <c r="B99" s="120" t="s">
        <v>632</v>
      </c>
      <c r="C99" s="120" t="s">
        <v>1084</v>
      </c>
      <c r="D99" s="120"/>
      <c r="E99" s="120"/>
      <c r="F99" s="121" t="s">
        <v>1085</v>
      </c>
    </row>
    <row r="100" spans="1:6" ht="49.5" customHeight="1" x14ac:dyDescent="0.25">
      <c r="A100" s="148" t="s">
        <v>134</v>
      </c>
      <c r="B100" s="120" t="s">
        <v>632</v>
      </c>
      <c r="C100" s="120" t="s">
        <v>1086</v>
      </c>
      <c r="D100" s="120"/>
      <c r="E100" s="120"/>
      <c r="F100" s="121" t="s">
        <v>1087</v>
      </c>
    </row>
    <row r="101" spans="1:6" ht="49.5" customHeight="1" x14ac:dyDescent="0.25">
      <c r="A101" s="148" t="s">
        <v>134</v>
      </c>
      <c r="B101" s="120" t="s">
        <v>632</v>
      </c>
      <c r="C101" s="120" t="s">
        <v>1088</v>
      </c>
      <c r="D101" s="120"/>
      <c r="E101" s="120"/>
      <c r="F101" s="121" t="s">
        <v>1089</v>
      </c>
    </row>
    <row r="102" spans="1:6" ht="36" customHeight="1" x14ac:dyDescent="0.25">
      <c r="A102" s="148" t="s">
        <v>134</v>
      </c>
      <c r="B102" s="120" t="s">
        <v>632</v>
      </c>
      <c r="C102" s="120" t="s">
        <v>1090</v>
      </c>
      <c r="D102" s="120"/>
      <c r="E102" s="120"/>
      <c r="F102" s="121" t="s">
        <v>1091</v>
      </c>
    </row>
    <row r="103" spans="1:6" ht="49.5" customHeight="1" x14ac:dyDescent="0.25">
      <c r="A103" s="148" t="s">
        <v>152</v>
      </c>
      <c r="B103" s="120" t="s">
        <v>634</v>
      </c>
      <c r="C103" s="120" t="s">
        <v>1092</v>
      </c>
      <c r="D103" s="120">
        <v>1936.56</v>
      </c>
      <c r="E103" s="120" t="s">
        <v>23</v>
      </c>
      <c r="F103" s="121" t="s">
        <v>1093</v>
      </c>
    </row>
    <row r="104" spans="1:6" ht="49.5" customHeight="1" x14ac:dyDescent="0.25">
      <c r="A104" s="148" t="s">
        <v>152</v>
      </c>
      <c r="B104" s="120" t="s">
        <v>634</v>
      </c>
      <c r="C104" s="120" t="s">
        <v>1094</v>
      </c>
      <c r="D104" s="120"/>
      <c r="E104" s="120" t="s">
        <v>1095</v>
      </c>
      <c r="F104" s="121" t="s">
        <v>1096</v>
      </c>
    </row>
    <row r="105" spans="1:6" ht="105.75" customHeight="1" x14ac:dyDescent="0.25">
      <c r="A105" s="148" t="s">
        <v>155</v>
      </c>
      <c r="B105" s="120" t="s">
        <v>634</v>
      </c>
      <c r="C105" s="120" t="s">
        <v>1097</v>
      </c>
      <c r="D105" s="120">
        <v>152.30000000000001</v>
      </c>
      <c r="E105" s="120" t="s">
        <v>21</v>
      </c>
      <c r="F105" s="121" t="s">
        <v>1098</v>
      </c>
    </row>
    <row r="106" spans="1:6" ht="49.5" customHeight="1" x14ac:dyDescent="0.25">
      <c r="A106" s="148" t="s">
        <v>158</v>
      </c>
      <c r="B106" s="120" t="s">
        <v>635</v>
      </c>
      <c r="C106" s="120" t="s">
        <v>1099</v>
      </c>
      <c r="D106" s="120"/>
      <c r="E106" s="120"/>
      <c r="F106" s="121" t="s">
        <v>979</v>
      </c>
    </row>
    <row r="107" spans="1:6" ht="49.5" customHeight="1" x14ac:dyDescent="0.25">
      <c r="A107" s="148" t="s">
        <v>158</v>
      </c>
      <c r="B107" s="120" t="s">
        <v>635</v>
      </c>
      <c r="C107" s="120" t="s">
        <v>1100</v>
      </c>
      <c r="D107" s="120"/>
      <c r="E107" s="120"/>
      <c r="F107" s="121" t="s">
        <v>979</v>
      </c>
    </row>
    <row r="108" spans="1:6" ht="49.5" customHeight="1" x14ac:dyDescent="0.25">
      <c r="A108" s="148" t="s">
        <v>158</v>
      </c>
      <c r="B108" s="120" t="s">
        <v>635</v>
      </c>
      <c r="C108" s="120" t="s">
        <v>1101</v>
      </c>
      <c r="D108" s="120"/>
      <c r="E108" s="120"/>
      <c r="F108" s="121" t="s">
        <v>1102</v>
      </c>
    </row>
    <row r="109" spans="1:6" ht="49.5" customHeight="1" x14ac:dyDescent="0.25">
      <c r="A109" s="148" t="s">
        <v>158</v>
      </c>
      <c r="B109" s="120" t="s">
        <v>635</v>
      </c>
      <c r="C109" s="120" t="s">
        <v>1103</v>
      </c>
      <c r="D109" s="120"/>
      <c r="E109" s="120"/>
      <c r="F109" s="121" t="s">
        <v>979</v>
      </c>
    </row>
    <row r="110" spans="1:6" ht="49.5" customHeight="1" x14ac:dyDescent="0.25">
      <c r="A110" s="148" t="s">
        <v>158</v>
      </c>
      <c r="B110" s="120" t="s">
        <v>635</v>
      </c>
      <c r="C110" s="120" t="s">
        <v>1104</v>
      </c>
      <c r="D110" s="120"/>
      <c r="E110" s="120"/>
      <c r="F110" s="121" t="s">
        <v>1105</v>
      </c>
    </row>
    <row r="111" spans="1:6" ht="36" customHeight="1" x14ac:dyDescent="0.25">
      <c r="A111" s="148" t="s">
        <v>158</v>
      </c>
      <c r="B111" s="120" t="s">
        <v>635</v>
      </c>
      <c r="C111" s="120" t="s">
        <v>1106</v>
      </c>
      <c r="D111" s="120"/>
      <c r="E111" s="120"/>
      <c r="F111" s="121" t="s">
        <v>979</v>
      </c>
    </row>
    <row r="112" spans="1:6" ht="78" customHeight="1" x14ac:dyDescent="0.25">
      <c r="A112" s="148" t="s">
        <v>158</v>
      </c>
      <c r="B112" s="120" t="s">
        <v>635</v>
      </c>
      <c r="C112" s="120" t="s">
        <v>1107</v>
      </c>
      <c r="D112" s="120"/>
      <c r="E112" s="120"/>
      <c r="F112" s="121" t="s">
        <v>979</v>
      </c>
    </row>
    <row r="113" spans="1:6" ht="49.5" customHeight="1" x14ac:dyDescent="0.25">
      <c r="A113" s="148" t="s">
        <v>158</v>
      </c>
      <c r="B113" s="120" t="s">
        <v>635</v>
      </c>
      <c r="C113" s="120" t="s">
        <v>1108</v>
      </c>
      <c r="D113" s="120"/>
      <c r="E113" s="120"/>
      <c r="F113" s="121" t="s">
        <v>1109</v>
      </c>
    </row>
    <row r="114" spans="1:6" ht="63.75" customHeight="1" x14ac:dyDescent="0.25">
      <c r="A114" s="148" t="s">
        <v>158</v>
      </c>
      <c r="B114" s="120" t="s">
        <v>635</v>
      </c>
      <c r="C114" s="120" t="s">
        <v>1110</v>
      </c>
      <c r="D114" s="120"/>
      <c r="E114" s="120"/>
      <c r="F114" s="121" t="s">
        <v>1111</v>
      </c>
    </row>
    <row r="115" spans="1:6" ht="49.5" customHeight="1" x14ac:dyDescent="0.25">
      <c r="A115" s="148" t="s">
        <v>158</v>
      </c>
      <c r="B115" s="120" t="s">
        <v>635</v>
      </c>
      <c r="C115" s="120" t="s">
        <v>1112</v>
      </c>
      <c r="D115" s="120">
        <v>1241.3</v>
      </c>
      <c r="E115" s="120" t="s">
        <v>23</v>
      </c>
      <c r="F115" s="121" t="s">
        <v>1113</v>
      </c>
    </row>
    <row r="116" spans="1:6" ht="63.75" customHeight="1" x14ac:dyDescent="0.25">
      <c r="A116" s="148" t="s">
        <v>169</v>
      </c>
      <c r="B116" s="120" t="s">
        <v>637</v>
      </c>
      <c r="C116" s="120" t="s">
        <v>1114</v>
      </c>
      <c r="D116" s="120"/>
      <c r="E116" s="120"/>
      <c r="F116" s="121" t="s">
        <v>1115</v>
      </c>
    </row>
    <row r="117" spans="1:6" ht="78" customHeight="1" x14ac:dyDescent="0.25">
      <c r="A117" s="148" t="s">
        <v>171</v>
      </c>
      <c r="B117" s="120" t="s">
        <v>637</v>
      </c>
      <c r="C117" s="120" t="s">
        <v>1116</v>
      </c>
      <c r="D117" s="120">
        <v>4175.2700000000004</v>
      </c>
      <c r="E117" s="120" t="s">
        <v>23</v>
      </c>
      <c r="F117" s="121" t="s">
        <v>1117</v>
      </c>
    </row>
    <row r="118" spans="1:6" ht="36" customHeight="1" x14ac:dyDescent="0.25">
      <c r="A118" s="148" t="s">
        <v>171</v>
      </c>
      <c r="B118" s="120" t="s">
        <v>637</v>
      </c>
      <c r="C118" s="120" t="s">
        <v>1118</v>
      </c>
      <c r="D118" s="120"/>
      <c r="E118" s="120"/>
      <c r="F118" s="121" t="s">
        <v>1091</v>
      </c>
    </row>
    <row r="119" spans="1:6" ht="36" customHeight="1" x14ac:dyDescent="0.25">
      <c r="A119" s="148" t="s">
        <v>171</v>
      </c>
      <c r="B119" s="120" t="s">
        <v>637</v>
      </c>
      <c r="C119" s="120" t="s">
        <v>1119</v>
      </c>
      <c r="D119" s="120"/>
      <c r="E119" s="120"/>
      <c r="F119" s="121" t="s">
        <v>1120</v>
      </c>
    </row>
    <row r="120" spans="1:6" ht="36" customHeight="1" x14ac:dyDescent="0.25">
      <c r="A120" s="148" t="s">
        <v>176</v>
      </c>
      <c r="B120" s="120" t="s">
        <v>639</v>
      </c>
      <c r="C120" s="120" t="s">
        <v>1121</v>
      </c>
      <c r="D120" s="120"/>
      <c r="E120" s="120"/>
      <c r="F120" s="121" t="s">
        <v>1122</v>
      </c>
    </row>
    <row r="121" spans="1:6" ht="36" customHeight="1" x14ac:dyDescent="0.25">
      <c r="A121" s="148" t="s">
        <v>176</v>
      </c>
      <c r="B121" s="120" t="s">
        <v>639</v>
      </c>
      <c r="C121" s="120" t="s">
        <v>1123</v>
      </c>
      <c r="D121" s="120">
        <v>512.02</v>
      </c>
      <c r="E121" s="120" t="s">
        <v>23</v>
      </c>
      <c r="F121" s="121" t="s">
        <v>1124</v>
      </c>
    </row>
    <row r="122" spans="1:6" ht="63.75" customHeight="1" x14ac:dyDescent="0.25">
      <c r="A122" s="148" t="s">
        <v>176</v>
      </c>
      <c r="B122" s="120" t="s">
        <v>639</v>
      </c>
      <c r="C122" s="120" t="s">
        <v>1125</v>
      </c>
      <c r="D122" s="120"/>
      <c r="E122" s="120"/>
      <c r="F122" s="121" t="s">
        <v>1059</v>
      </c>
    </row>
    <row r="123" spans="1:6" ht="63.75" customHeight="1" x14ac:dyDescent="0.25">
      <c r="A123" s="148" t="s">
        <v>179</v>
      </c>
      <c r="B123" s="120" t="s">
        <v>639</v>
      </c>
      <c r="C123" s="120" t="s">
        <v>1126</v>
      </c>
      <c r="D123" s="120">
        <v>4304.92</v>
      </c>
      <c r="E123" s="120" t="s">
        <v>23</v>
      </c>
      <c r="F123" s="121" t="s">
        <v>1127</v>
      </c>
    </row>
    <row r="124" spans="1:6" ht="36" customHeight="1" x14ac:dyDescent="0.25">
      <c r="A124" s="148" t="s">
        <v>179</v>
      </c>
      <c r="B124" s="120" t="s">
        <v>639</v>
      </c>
      <c r="C124" s="120" t="s">
        <v>1128</v>
      </c>
      <c r="D124" s="120"/>
      <c r="E124" s="120" t="s">
        <v>35</v>
      </c>
      <c r="F124" s="121" t="s">
        <v>1129</v>
      </c>
    </row>
    <row r="125" spans="1:6" ht="49.5" customHeight="1" x14ac:dyDescent="0.25">
      <c r="A125" s="148" t="s">
        <v>179</v>
      </c>
      <c r="B125" s="120" t="s">
        <v>639</v>
      </c>
      <c r="C125" s="120" t="s">
        <v>1130</v>
      </c>
      <c r="D125" s="120">
        <v>4408.21</v>
      </c>
      <c r="E125" s="120" t="s">
        <v>23</v>
      </c>
      <c r="F125" s="121" t="s">
        <v>1131</v>
      </c>
    </row>
    <row r="126" spans="1:6" ht="49.5" customHeight="1" x14ac:dyDescent="0.25">
      <c r="A126" s="148" t="s">
        <v>179</v>
      </c>
      <c r="B126" s="120" t="s">
        <v>639</v>
      </c>
      <c r="C126" s="120" t="s">
        <v>1132</v>
      </c>
      <c r="D126" s="120">
        <v>522.39</v>
      </c>
      <c r="E126" s="120" t="s">
        <v>23</v>
      </c>
      <c r="F126" s="121" t="s">
        <v>1133</v>
      </c>
    </row>
    <row r="127" spans="1:6" ht="63.75" customHeight="1" x14ac:dyDescent="0.25">
      <c r="A127" s="148" t="s">
        <v>179</v>
      </c>
      <c r="B127" s="120" t="s">
        <v>639</v>
      </c>
      <c r="C127" s="120" t="s">
        <v>1134</v>
      </c>
      <c r="D127" s="120">
        <v>1489.14</v>
      </c>
      <c r="E127" s="120" t="s">
        <v>21</v>
      </c>
      <c r="F127" s="121" t="s">
        <v>1135</v>
      </c>
    </row>
    <row r="128" spans="1:6" ht="36" customHeight="1" x14ac:dyDescent="0.25">
      <c r="A128" s="148" t="s">
        <v>179</v>
      </c>
      <c r="B128" s="120" t="s">
        <v>639</v>
      </c>
      <c r="C128" s="120" t="s">
        <v>1136</v>
      </c>
      <c r="D128" s="120"/>
      <c r="E128" s="120"/>
      <c r="F128" s="121" t="s">
        <v>1137</v>
      </c>
    </row>
    <row r="129" spans="1:6" ht="49.5" customHeight="1" x14ac:dyDescent="0.25">
      <c r="A129" s="148" t="s">
        <v>179</v>
      </c>
      <c r="B129" s="120" t="s">
        <v>639</v>
      </c>
      <c r="C129" s="120" t="s">
        <v>1138</v>
      </c>
      <c r="D129" s="120"/>
      <c r="E129" s="120"/>
      <c r="F129" s="121" t="s">
        <v>1139</v>
      </c>
    </row>
    <row r="130" spans="1:6" ht="63.75" customHeight="1" x14ac:dyDescent="0.25">
      <c r="A130" s="148" t="s">
        <v>179</v>
      </c>
      <c r="B130" s="120" t="s">
        <v>639</v>
      </c>
      <c r="C130" s="120" t="s">
        <v>1140</v>
      </c>
      <c r="D130" s="120"/>
      <c r="E130" s="120"/>
      <c r="F130" s="121" t="s">
        <v>1141</v>
      </c>
    </row>
    <row r="131" spans="1:6" ht="36" customHeight="1" x14ac:dyDescent="0.25">
      <c r="A131" s="148" t="s">
        <v>179</v>
      </c>
      <c r="B131" s="120" t="s">
        <v>639</v>
      </c>
      <c r="C131" s="120" t="s">
        <v>1142</v>
      </c>
      <c r="D131" s="120"/>
      <c r="E131" s="120"/>
      <c r="F131" s="121" t="s">
        <v>1143</v>
      </c>
    </row>
    <row r="132" spans="1:6" ht="63.75" customHeight="1" x14ac:dyDescent="0.25">
      <c r="A132" s="148" t="s">
        <v>495</v>
      </c>
      <c r="B132" s="120" t="s">
        <v>641</v>
      </c>
      <c r="C132" s="120" t="s">
        <v>1144</v>
      </c>
      <c r="D132" s="120"/>
      <c r="E132" s="120"/>
      <c r="F132" s="121" t="s">
        <v>1145</v>
      </c>
    </row>
    <row r="133" spans="1:6" ht="36" customHeight="1" x14ac:dyDescent="0.25">
      <c r="A133" s="148" t="s">
        <v>495</v>
      </c>
      <c r="B133" s="120" t="s">
        <v>641</v>
      </c>
      <c r="C133" s="120" t="s">
        <v>1146</v>
      </c>
      <c r="D133" s="120"/>
      <c r="E133" s="120"/>
      <c r="F133" s="121" t="s">
        <v>1147</v>
      </c>
    </row>
    <row r="134" spans="1:6" ht="36" customHeight="1" x14ac:dyDescent="0.25">
      <c r="A134" s="148" t="s">
        <v>495</v>
      </c>
      <c r="B134" s="120" t="s">
        <v>641</v>
      </c>
      <c r="C134" s="120" t="s">
        <v>1148</v>
      </c>
      <c r="D134" s="120"/>
      <c r="E134" s="120"/>
      <c r="F134" s="121" t="s">
        <v>1149</v>
      </c>
    </row>
    <row r="135" spans="1:6" ht="63.75" customHeight="1" x14ac:dyDescent="0.25">
      <c r="A135" s="148" t="s">
        <v>495</v>
      </c>
      <c r="B135" s="120" t="s">
        <v>641</v>
      </c>
      <c r="C135" s="120" t="s">
        <v>1150</v>
      </c>
      <c r="D135" s="120"/>
      <c r="E135" s="120"/>
      <c r="F135" s="121" t="s">
        <v>1151</v>
      </c>
    </row>
    <row r="136" spans="1:6" ht="63.75" customHeight="1" x14ac:dyDescent="0.25">
      <c r="A136" s="148" t="s">
        <v>190</v>
      </c>
      <c r="B136" s="120" t="s">
        <v>641</v>
      </c>
      <c r="C136" s="120" t="s">
        <v>1152</v>
      </c>
      <c r="D136" s="120"/>
      <c r="E136" s="120"/>
      <c r="F136" s="121" t="s">
        <v>1153</v>
      </c>
    </row>
    <row r="137" spans="1:6" ht="120" customHeight="1" x14ac:dyDescent="0.25">
      <c r="A137" s="148" t="s">
        <v>190</v>
      </c>
      <c r="B137" s="120" t="s">
        <v>641</v>
      </c>
      <c r="C137" s="120" t="s">
        <v>1154</v>
      </c>
      <c r="D137" s="120">
        <v>1102.55</v>
      </c>
      <c r="E137" s="120" t="s">
        <v>23</v>
      </c>
      <c r="F137" s="121" t="s">
        <v>1155</v>
      </c>
    </row>
    <row r="138" spans="1:6" ht="120" customHeight="1" x14ac:dyDescent="0.25">
      <c r="A138" s="148" t="s">
        <v>190</v>
      </c>
      <c r="B138" s="120" t="s">
        <v>641</v>
      </c>
      <c r="C138" s="120" t="s">
        <v>1156</v>
      </c>
      <c r="D138" s="120">
        <v>1160.3</v>
      </c>
      <c r="E138" s="120" t="s">
        <v>23</v>
      </c>
      <c r="F138" s="121" t="s">
        <v>1157</v>
      </c>
    </row>
    <row r="139" spans="1:6" ht="63.75" customHeight="1" x14ac:dyDescent="0.25">
      <c r="A139" s="148" t="s">
        <v>190</v>
      </c>
      <c r="B139" s="120" t="s">
        <v>641</v>
      </c>
      <c r="C139" s="120" t="s">
        <v>1158</v>
      </c>
      <c r="D139" s="120"/>
      <c r="E139" s="120"/>
      <c r="F139" s="121" t="s">
        <v>1159</v>
      </c>
    </row>
    <row r="140" spans="1:6" ht="63.75" customHeight="1" x14ac:dyDescent="0.25">
      <c r="A140" s="148" t="s">
        <v>190</v>
      </c>
      <c r="B140" s="120" t="s">
        <v>641</v>
      </c>
      <c r="C140" s="120" t="s">
        <v>1160</v>
      </c>
      <c r="D140" s="120"/>
      <c r="E140" s="120"/>
      <c r="F140" s="121" t="s">
        <v>1161</v>
      </c>
    </row>
    <row r="141" spans="1:6" ht="36" customHeight="1" x14ac:dyDescent="0.25">
      <c r="A141" s="148" t="s">
        <v>190</v>
      </c>
      <c r="B141" s="120" t="s">
        <v>641</v>
      </c>
      <c r="C141" s="120" t="s">
        <v>1162</v>
      </c>
      <c r="D141" s="120"/>
      <c r="E141" s="120"/>
      <c r="F141" s="121" t="s">
        <v>1111</v>
      </c>
    </row>
    <row r="142" spans="1:6" ht="78" customHeight="1" x14ac:dyDescent="0.25">
      <c r="A142" s="148" t="s">
        <v>190</v>
      </c>
      <c r="B142" s="120" t="s">
        <v>641</v>
      </c>
      <c r="C142" s="120" t="s">
        <v>1163</v>
      </c>
      <c r="D142" s="120"/>
      <c r="E142" s="120"/>
      <c r="F142" s="121" t="s">
        <v>1164</v>
      </c>
    </row>
    <row r="143" spans="1:6" ht="36" customHeight="1" x14ac:dyDescent="0.25">
      <c r="A143" s="148" t="s">
        <v>190</v>
      </c>
      <c r="B143" s="120" t="s">
        <v>641</v>
      </c>
      <c r="C143" s="120" t="s">
        <v>1165</v>
      </c>
      <c r="D143" s="120"/>
      <c r="E143" s="120"/>
      <c r="F143" s="121" t="s">
        <v>1166</v>
      </c>
    </row>
    <row r="144" spans="1:6" ht="49.5" customHeight="1" x14ac:dyDescent="0.25">
      <c r="A144" s="148" t="s">
        <v>190</v>
      </c>
      <c r="B144" s="120" t="s">
        <v>641</v>
      </c>
      <c r="C144" s="120" t="s">
        <v>1167</v>
      </c>
      <c r="D144" s="120"/>
      <c r="E144" s="120"/>
      <c r="F144" s="121" t="s">
        <v>1168</v>
      </c>
    </row>
    <row r="145" spans="1:6" ht="49.5" customHeight="1" x14ac:dyDescent="0.25">
      <c r="A145" s="148" t="s">
        <v>198</v>
      </c>
      <c r="B145" s="120" t="s">
        <v>641</v>
      </c>
      <c r="C145" s="120" t="s">
        <v>1169</v>
      </c>
      <c r="D145" s="120"/>
      <c r="E145" s="120"/>
      <c r="F145" s="121" t="s">
        <v>979</v>
      </c>
    </row>
    <row r="146" spans="1:6" ht="36" customHeight="1" x14ac:dyDescent="0.25">
      <c r="A146" s="148" t="s">
        <v>198</v>
      </c>
      <c r="B146" s="120" t="s">
        <v>641</v>
      </c>
      <c r="C146" s="120" t="s">
        <v>1170</v>
      </c>
      <c r="D146" s="120"/>
      <c r="E146" s="120"/>
      <c r="F146" s="121" t="s">
        <v>979</v>
      </c>
    </row>
    <row r="147" spans="1:6" ht="63.75" customHeight="1" x14ac:dyDescent="0.25">
      <c r="A147" s="148" t="s">
        <v>198</v>
      </c>
      <c r="B147" s="120" t="s">
        <v>641</v>
      </c>
      <c r="C147" s="120" t="s">
        <v>1171</v>
      </c>
      <c r="D147" s="120"/>
      <c r="E147" s="120"/>
      <c r="F147" s="121" t="s">
        <v>1172</v>
      </c>
    </row>
    <row r="148" spans="1:6" ht="49.5" customHeight="1" x14ac:dyDescent="0.25">
      <c r="A148" s="148" t="s">
        <v>198</v>
      </c>
      <c r="B148" s="120" t="s">
        <v>641</v>
      </c>
      <c r="C148" s="120" t="s">
        <v>1173</v>
      </c>
      <c r="D148" s="120"/>
      <c r="E148" s="120"/>
      <c r="F148" s="121" t="s">
        <v>1174</v>
      </c>
    </row>
    <row r="149" spans="1:6" ht="78" customHeight="1" x14ac:dyDescent="0.25">
      <c r="A149" s="148" t="s">
        <v>198</v>
      </c>
      <c r="B149" s="120" t="s">
        <v>641</v>
      </c>
      <c r="C149" s="120" t="s">
        <v>1175</v>
      </c>
      <c r="D149" s="120"/>
      <c r="E149" s="120"/>
      <c r="F149" s="121" t="s">
        <v>1176</v>
      </c>
    </row>
    <row r="150" spans="1:6" ht="36" customHeight="1" x14ac:dyDescent="0.25">
      <c r="A150" s="148" t="s">
        <v>198</v>
      </c>
      <c r="B150" s="120" t="s">
        <v>641</v>
      </c>
      <c r="C150" s="120" t="s">
        <v>1177</v>
      </c>
      <c r="D150" s="120"/>
      <c r="E150" s="120"/>
      <c r="F150" s="121" t="s">
        <v>1178</v>
      </c>
    </row>
    <row r="151" spans="1:6" ht="49.5" customHeight="1" x14ac:dyDescent="0.25">
      <c r="A151" s="148" t="s">
        <v>198</v>
      </c>
      <c r="B151" s="120" t="s">
        <v>641</v>
      </c>
      <c r="C151" s="120" t="s">
        <v>1179</v>
      </c>
      <c r="D151" s="120"/>
      <c r="E151" s="120"/>
      <c r="F151" s="121" t="s">
        <v>1180</v>
      </c>
    </row>
    <row r="152" spans="1:6" ht="49.5" customHeight="1" x14ac:dyDescent="0.25">
      <c r="A152" s="148" t="s">
        <v>198</v>
      </c>
      <c r="B152" s="120" t="s">
        <v>641</v>
      </c>
      <c r="C152" s="120" t="s">
        <v>1181</v>
      </c>
      <c r="D152" s="120"/>
      <c r="E152" s="120"/>
      <c r="F152" s="121" t="s">
        <v>1182</v>
      </c>
    </row>
    <row r="153" spans="1:6" ht="49.5" customHeight="1" x14ac:dyDescent="0.25">
      <c r="A153" s="148" t="s">
        <v>210</v>
      </c>
      <c r="B153" s="120" t="s">
        <v>643</v>
      </c>
      <c r="C153" s="120" t="s">
        <v>1183</v>
      </c>
      <c r="D153" s="120">
        <v>1</v>
      </c>
      <c r="E153" s="120" t="s">
        <v>26</v>
      </c>
      <c r="F153" s="121" t="s">
        <v>1184</v>
      </c>
    </row>
    <row r="154" spans="1:6" ht="49.5" customHeight="1" x14ac:dyDescent="0.25">
      <c r="A154" s="148" t="s">
        <v>210</v>
      </c>
      <c r="B154" s="120" t="s">
        <v>643</v>
      </c>
      <c r="C154" s="120" t="s">
        <v>1185</v>
      </c>
      <c r="D154" s="120">
        <v>1</v>
      </c>
      <c r="E154" s="120" t="s">
        <v>26</v>
      </c>
      <c r="F154" s="121" t="s">
        <v>1186</v>
      </c>
    </row>
    <row r="155" spans="1:6" ht="105.75" customHeight="1" x14ac:dyDescent="0.25">
      <c r="A155" s="148" t="s">
        <v>213</v>
      </c>
      <c r="B155" s="120" t="s">
        <v>643</v>
      </c>
      <c r="C155" s="120" t="s">
        <v>1187</v>
      </c>
      <c r="D155" s="120">
        <v>2</v>
      </c>
      <c r="E155" s="120" t="s">
        <v>26</v>
      </c>
      <c r="F155" s="121" t="s">
        <v>1188</v>
      </c>
    </row>
    <row r="156" spans="1:6" ht="133.5" customHeight="1" x14ac:dyDescent="0.25">
      <c r="A156" s="148" t="s">
        <v>213</v>
      </c>
      <c r="B156" s="120" t="s">
        <v>643</v>
      </c>
      <c r="C156" s="120" t="s">
        <v>1189</v>
      </c>
      <c r="D156" s="120">
        <v>29</v>
      </c>
      <c r="E156" s="120" t="s">
        <v>26</v>
      </c>
      <c r="F156" s="121" t="s">
        <v>1190</v>
      </c>
    </row>
    <row r="157" spans="1:6" ht="330" customHeight="1" x14ac:dyDescent="0.25">
      <c r="A157" s="148" t="s">
        <v>213</v>
      </c>
      <c r="B157" s="120" t="s">
        <v>643</v>
      </c>
      <c r="C157" s="120" t="s">
        <v>1191</v>
      </c>
      <c r="D157" s="120">
        <v>14</v>
      </c>
      <c r="E157" s="120" t="s">
        <v>26</v>
      </c>
      <c r="F157" s="121" t="s">
        <v>1192</v>
      </c>
    </row>
    <row r="158" spans="1:6" ht="36" customHeight="1" x14ac:dyDescent="0.25">
      <c r="A158" s="148" t="s">
        <v>213</v>
      </c>
      <c r="B158" s="120" t="s">
        <v>643</v>
      </c>
      <c r="C158" s="120" t="s">
        <v>1193</v>
      </c>
      <c r="D158" s="120"/>
      <c r="E158" s="120"/>
      <c r="F158" s="121" t="s">
        <v>1194</v>
      </c>
    </row>
    <row r="159" spans="1:6" ht="49.5" customHeight="1" x14ac:dyDescent="0.25">
      <c r="A159" s="148" t="s">
        <v>210</v>
      </c>
      <c r="B159" s="120" t="s">
        <v>643</v>
      </c>
      <c r="C159" s="120" t="s">
        <v>1195</v>
      </c>
      <c r="D159" s="120">
        <v>1</v>
      </c>
      <c r="E159" s="120" t="s">
        <v>26</v>
      </c>
      <c r="F159" s="121" t="s">
        <v>1196</v>
      </c>
    </row>
    <row r="160" spans="1:6" ht="63.75" customHeight="1" x14ac:dyDescent="0.25">
      <c r="A160" s="148" t="s">
        <v>213</v>
      </c>
      <c r="B160" s="120" t="s">
        <v>643</v>
      </c>
      <c r="C160" s="120" t="s">
        <v>1197</v>
      </c>
      <c r="D160" s="120">
        <v>1</v>
      </c>
      <c r="E160" s="120" t="s">
        <v>26</v>
      </c>
      <c r="F160" s="121" t="s">
        <v>1198</v>
      </c>
    </row>
    <row r="161" spans="1:6" ht="78" customHeight="1" x14ac:dyDescent="0.25">
      <c r="A161" s="148" t="s">
        <v>221</v>
      </c>
      <c r="B161" s="120" t="s">
        <v>644</v>
      </c>
      <c r="C161" s="120" t="s">
        <v>1199</v>
      </c>
      <c r="D161" s="120">
        <v>1</v>
      </c>
      <c r="E161" s="120" t="s">
        <v>26</v>
      </c>
      <c r="F161" s="121" t="s">
        <v>1200</v>
      </c>
    </row>
    <row r="162" spans="1:6" ht="91.5" customHeight="1" x14ac:dyDescent="0.25">
      <c r="A162" s="148" t="s">
        <v>221</v>
      </c>
      <c r="B162" s="120" t="s">
        <v>644</v>
      </c>
      <c r="C162" s="120" t="s">
        <v>1201</v>
      </c>
      <c r="D162" s="120">
        <v>1</v>
      </c>
      <c r="E162" s="120" t="s">
        <v>26</v>
      </c>
      <c r="F162" s="121" t="s">
        <v>1202</v>
      </c>
    </row>
    <row r="163" spans="1:6" ht="343.5" customHeight="1" x14ac:dyDescent="0.25">
      <c r="A163" s="148" t="s">
        <v>225</v>
      </c>
      <c r="B163" s="120" t="s">
        <v>645</v>
      </c>
      <c r="C163" s="120" t="s">
        <v>1203</v>
      </c>
      <c r="D163" s="120">
        <v>16</v>
      </c>
      <c r="E163" s="120" t="s">
        <v>26</v>
      </c>
      <c r="F163" s="121" t="s">
        <v>1204</v>
      </c>
    </row>
    <row r="164" spans="1:6" ht="105.75" customHeight="1" x14ac:dyDescent="0.25">
      <c r="A164" s="148" t="s">
        <v>225</v>
      </c>
      <c r="B164" s="120" t="s">
        <v>645</v>
      </c>
      <c r="C164" s="120" t="s">
        <v>1205</v>
      </c>
      <c r="D164" s="120">
        <v>3</v>
      </c>
      <c r="E164" s="120" t="s">
        <v>26</v>
      </c>
      <c r="F164" s="121" t="s">
        <v>1206</v>
      </c>
    </row>
    <row r="165" spans="1:6" ht="133.5" customHeight="1" x14ac:dyDescent="0.25">
      <c r="A165" s="148" t="s">
        <v>225</v>
      </c>
      <c r="B165" s="120" t="s">
        <v>645</v>
      </c>
      <c r="C165" s="120" t="s">
        <v>1207</v>
      </c>
      <c r="D165" s="120">
        <v>4</v>
      </c>
      <c r="E165" s="120" t="s">
        <v>26</v>
      </c>
      <c r="F165" s="121" t="s">
        <v>1208</v>
      </c>
    </row>
    <row r="166" spans="1:6" ht="36" customHeight="1" x14ac:dyDescent="0.25">
      <c r="A166" s="148" t="s">
        <v>225</v>
      </c>
      <c r="B166" s="120" t="s">
        <v>645</v>
      </c>
      <c r="C166" s="120" t="s">
        <v>1209</v>
      </c>
      <c r="D166" s="120"/>
      <c r="E166" s="120"/>
      <c r="F166" s="121" t="s">
        <v>1210</v>
      </c>
    </row>
    <row r="167" spans="1:6" ht="78" customHeight="1" x14ac:dyDescent="0.25">
      <c r="A167" s="148" t="s">
        <v>225</v>
      </c>
      <c r="B167" s="120" t="s">
        <v>645</v>
      </c>
      <c r="C167" s="120" t="s">
        <v>1211</v>
      </c>
      <c r="D167" s="120"/>
      <c r="E167" s="120"/>
      <c r="F167" s="121" t="s">
        <v>1212</v>
      </c>
    </row>
    <row r="168" spans="1:6" ht="49.5" customHeight="1" x14ac:dyDescent="0.25">
      <c r="A168" s="148" t="s">
        <v>225</v>
      </c>
      <c r="B168" s="120" t="s">
        <v>645</v>
      </c>
      <c r="C168" s="120" t="s">
        <v>1213</v>
      </c>
      <c r="D168" s="120"/>
      <c r="E168" s="120"/>
      <c r="F168" s="121" t="s">
        <v>1214</v>
      </c>
    </row>
    <row r="169" spans="1:6" ht="49.5" customHeight="1" x14ac:dyDescent="0.25">
      <c r="A169" s="148" t="s">
        <v>225</v>
      </c>
      <c r="B169" s="120" t="s">
        <v>645</v>
      </c>
      <c r="C169" s="120" t="s">
        <v>1215</v>
      </c>
      <c r="D169" s="120"/>
      <c r="E169" s="120"/>
      <c r="F169" s="121" t="s">
        <v>1216</v>
      </c>
    </row>
    <row r="170" spans="1:6" ht="78" customHeight="1" x14ac:dyDescent="0.25">
      <c r="A170" s="148" t="s">
        <v>229</v>
      </c>
      <c r="B170" s="120" t="s">
        <v>647</v>
      </c>
      <c r="C170" s="120" t="s">
        <v>1217</v>
      </c>
      <c r="D170" s="120"/>
      <c r="E170" s="120"/>
      <c r="F170" s="121" t="s">
        <v>1218</v>
      </c>
    </row>
    <row r="171" spans="1:6" ht="49.5" customHeight="1" x14ac:dyDescent="0.25">
      <c r="A171" s="148" t="s">
        <v>229</v>
      </c>
      <c r="B171" s="120" t="s">
        <v>647</v>
      </c>
      <c r="C171" s="120" t="s">
        <v>1219</v>
      </c>
      <c r="D171" s="120"/>
      <c r="E171" s="120"/>
      <c r="F171" s="121" t="s">
        <v>1220</v>
      </c>
    </row>
    <row r="172" spans="1:6" ht="63.75" customHeight="1" x14ac:dyDescent="0.25">
      <c r="A172" s="148" t="s">
        <v>229</v>
      </c>
      <c r="B172" s="120" t="s">
        <v>647</v>
      </c>
      <c r="C172" s="120" t="s">
        <v>1221</v>
      </c>
      <c r="D172" s="120"/>
      <c r="E172" s="120"/>
      <c r="F172" s="121" t="s">
        <v>1222</v>
      </c>
    </row>
    <row r="173" spans="1:6" ht="63.75" customHeight="1" x14ac:dyDescent="0.25">
      <c r="A173" s="148" t="s">
        <v>229</v>
      </c>
      <c r="B173" s="120" t="s">
        <v>647</v>
      </c>
      <c r="C173" s="120" t="s">
        <v>1223</v>
      </c>
      <c r="D173" s="120"/>
      <c r="E173" s="120"/>
      <c r="F173" s="121" t="s">
        <v>1224</v>
      </c>
    </row>
    <row r="174" spans="1:6" ht="49.5" customHeight="1" x14ac:dyDescent="0.25">
      <c r="A174" s="148" t="s">
        <v>229</v>
      </c>
      <c r="B174" s="120" t="s">
        <v>647</v>
      </c>
      <c r="C174" s="120" t="s">
        <v>1225</v>
      </c>
      <c r="D174" s="120"/>
      <c r="E174" s="120"/>
      <c r="F174" s="121" t="s">
        <v>1226</v>
      </c>
    </row>
    <row r="175" spans="1:6" ht="63.75" customHeight="1" x14ac:dyDescent="0.25">
      <c r="A175" s="148" t="s">
        <v>230</v>
      </c>
      <c r="B175" s="120" t="s">
        <v>647</v>
      </c>
      <c r="C175" s="120" t="s">
        <v>1227</v>
      </c>
      <c r="D175" s="120"/>
      <c r="E175" s="120"/>
      <c r="F175" s="121" t="s">
        <v>1228</v>
      </c>
    </row>
    <row r="176" spans="1:6" ht="78" customHeight="1" x14ac:dyDescent="0.25">
      <c r="A176" s="148" t="s">
        <v>230</v>
      </c>
      <c r="B176" s="120" t="s">
        <v>647</v>
      </c>
      <c r="C176" s="120" t="s">
        <v>1229</v>
      </c>
      <c r="D176" s="120"/>
      <c r="E176" s="120"/>
      <c r="F176" s="121" t="s">
        <v>1230</v>
      </c>
    </row>
    <row r="177" spans="1:6" ht="36" customHeight="1" x14ac:dyDescent="0.25">
      <c r="A177" s="148" t="s">
        <v>230</v>
      </c>
      <c r="B177" s="120" t="s">
        <v>647</v>
      </c>
      <c r="C177" s="120" t="s">
        <v>1231</v>
      </c>
      <c r="D177" s="120"/>
      <c r="E177" s="120"/>
      <c r="F177" s="121" t="s">
        <v>1232</v>
      </c>
    </row>
    <row r="178" spans="1:6" ht="105.75" customHeight="1" x14ac:dyDescent="0.25">
      <c r="A178" s="148" t="s">
        <v>237</v>
      </c>
      <c r="B178" s="120" t="s">
        <v>648</v>
      </c>
      <c r="C178" s="120" t="s">
        <v>1233</v>
      </c>
      <c r="D178" s="120">
        <v>366.84</v>
      </c>
      <c r="E178" s="120" t="s">
        <v>23</v>
      </c>
      <c r="F178" s="121" t="s">
        <v>1234</v>
      </c>
    </row>
    <row r="179" spans="1:6" ht="49.5" customHeight="1" x14ac:dyDescent="0.25">
      <c r="A179" s="148" t="s">
        <v>237</v>
      </c>
      <c r="B179" s="120" t="s">
        <v>648</v>
      </c>
      <c r="C179" s="120" t="s">
        <v>1235</v>
      </c>
      <c r="D179" s="120"/>
      <c r="E179" s="120"/>
      <c r="F179" s="121" t="s">
        <v>979</v>
      </c>
    </row>
    <row r="180" spans="1:6" ht="36" customHeight="1" x14ac:dyDescent="0.25">
      <c r="A180" s="148" t="s">
        <v>237</v>
      </c>
      <c r="B180" s="120" t="s">
        <v>648</v>
      </c>
      <c r="C180" s="120" t="s">
        <v>1236</v>
      </c>
      <c r="D180" s="120"/>
      <c r="E180" s="120"/>
      <c r="F180" s="121" t="s">
        <v>1109</v>
      </c>
    </row>
    <row r="181" spans="1:6" ht="36" customHeight="1" x14ac:dyDescent="0.25">
      <c r="A181" s="148" t="s">
        <v>237</v>
      </c>
      <c r="B181" s="120" t="s">
        <v>648</v>
      </c>
      <c r="C181" s="120" t="s">
        <v>1237</v>
      </c>
      <c r="D181" s="120"/>
      <c r="E181" s="120"/>
      <c r="F181" s="121" t="s">
        <v>1122</v>
      </c>
    </row>
    <row r="182" spans="1:6" ht="36" customHeight="1" x14ac:dyDescent="0.25">
      <c r="A182" s="148" t="s">
        <v>237</v>
      </c>
      <c r="B182" s="120" t="s">
        <v>648</v>
      </c>
      <c r="C182" s="120" t="s">
        <v>1238</v>
      </c>
      <c r="D182" s="120"/>
      <c r="E182" s="120"/>
      <c r="F182" s="121" t="s">
        <v>1029</v>
      </c>
    </row>
    <row r="183" spans="1:6" ht="49.5" customHeight="1" x14ac:dyDescent="0.25">
      <c r="A183" s="148" t="s">
        <v>237</v>
      </c>
      <c r="B183" s="120" t="s">
        <v>648</v>
      </c>
      <c r="C183" s="120" t="s">
        <v>1239</v>
      </c>
      <c r="D183" s="120"/>
      <c r="E183" s="120"/>
      <c r="F183" s="121" t="s">
        <v>1240</v>
      </c>
    </row>
    <row r="184" spans="1:6" ht="36" customHeight="1" x14ac:dyDescent="0.25">
      <c r="A184" s="148" t="s">
        <v>237</v>
      </c>
      <c r="B184" s="120" t="s">
        <v>648</v>
      </c>
      <c r="C184" s="120" t="s">
        <v>1241</v>
      </c>
      <c r="D184" s="120">
        <v>3</v>
      </c>
      <c r="E184" s="120" t="s">
        <v>26</v>
      </c>
      <c r="F184" s="121" t="s">
        <v>1242</v>
      </c>
    </row>
    <row r="185" spans="1:6" ht="63.75" customHeight="1" x14ac:dyDescent="0.25">
      <c r="A185" s="148" t="s">
        <v>237</v>
      </c>
      <c r="B185" s="120" t="s">
        <v>648</v>
      </c>
      <c r="C185" s="120" t="s">
        <v>1243</v>
      </c>
      <c r="D185" s="120"/>
      <c r="E185" s="120"/>
      <c r="F185" s="121" t="s">
        <v>1244</v>
      </c>
    </row>
    <row r="186" spans="1:6" ht="36" customHeight="1" x14ac:dyDescent="0.25">
      <c r="A186" s="148" t="s">
        <v>237</v>
      </c>
      <c r="B186" s="120" t="s">
        <v>648</v>
      </c>
      <c r="C186" s="120" t="s">
        <v>1245</v>
      </c>
      <c r="D186" s="120"/>
      <c r="E186" s="120"/>
      <c r="F186" s="121" t="s">
        <v>1246</v>
      </c>
    </row>
    <row r="187" spans="1:6" ht="63.75" customHeight="1" x14ac:dyDescent="0.25">
      <c r="A187" s="148" t="s">
        <v>237</v>
      </c>
      <c r="B187" s="120" t="s">
        <v>648</v>
      </c>
      <c r="C187" s="120" t="s">
        <v>1247</v>
      </c>
      <c r="D187" s="120">
        <v>46</v>
      </c>
      <c r="E187" s="120" t="s">
        <v>26</v>
      </c>
      <c r="F187" s="121" t="s">
        <v>1248</v>
      </c>
    </row>
    <row r="188" spans="1:6" ht="24" customHeight="1" x14ac:dyDescent="0.25">
      <c r="A188" s="148" t="s">
        <v>237</v>
      </c>
      <c r="B188" s="120" t="s">
        <v>648</v>
      </c>
      <c r="C188" s="120" t="s">
        <v>1249</v>
      </c>
      <c r="D188" s="120"/>
      <c r="E188" s="120"/>
      <c r="F188" s="121" t="s">
        <v>1250</v>
      </c>
    </row>
    <row r="189" spans="1:6" ht="36" customHeight="1" x14ac:dyDescent="0.25">
      <c r="A189" s="148" t="s">
        <v>237</v>
      </c>
      <c r="B189" s="120" t="s">
        <v>648</v>
      </c>
      <c r="C189" s="120" t="s">
        <v>1251</v>
      </c>
      <c r="D189" s="120"/>
      <c r="E189" s="120"/>
      <c r="F189" s="121" t="s">
        <v>1037</v>
      </c>
    </row>
    <row r="190" spans="1:6" ht="36" customHeight="1" x14ac:dyDescent="0.25">
      <c r="A190" s="148" t="s">
        <v>237</v>
      </c>
      <c r="B190" s="120" t="s">
        <v>648</v>
      </c>
      <c r="C190" s="120" t="s">
        <v>1252</v>
      </c>
      <c r="D190" s="120"/>
      <c r="E190" s="120"/>
      <c r="F190" s="121" t="s">
        <v>1037</v>
      </c>
    </row>
    <row r="191" spans="1:6" ht="63.75" customHeight="1" x14ac:dyDescent="0.25">
      <c r="A191" s="148" t="s">
        <v>260</v>
      </c>
      <c r="B191" s="120" t="s">
        <v>649</v>
      </c>
      <c r="C191" s="120" t="s">
        <v>1253</v>
      </c>
      <c r="D191" s="120">
        <v>1117.8399999999999</v>
      </c>
      <c r="E191" s="120" t="s">
        <v>23</v>
      </c>
      <c r="F191" s="121" t="s">
        <v>1254</v>
      </c>
    </row>
    <row r="192" spans="1:6" ht="49.5" customHeight="1" x14ac:dyDescent="0.25">
      <c r="A192" s="148" t="s">
        <v>260</v>
      </c>
      <c r="B192" s="120" t="s">
        <v>649</v>
      </c>
      <c r="C192" s="120" t="s">
        <v>1255</v>
      </c>
      <c r="D192" s="120"/>
      <c r="E192" s="120"/>
      <c r="F192" s="121" t="s">
        <v>1256</v>
      </c>
    </row>
    <row r="193" spans="1:6" ht="63.75" customHeight="1" x14ac:dyDescent="0.25">
      <c r="A193" s="148" t="s">
        <v>260</v>
      </c>
      <c r="B193" s="120" t="s">
        <v>649</v>
      </c>
      <c r="C193" s="120" t="s">
        <v>1257</v>
      </c>
      <c r="D193" s="120"/>
      <c r="E193" s="120"/>
      <c r="F193" s="121" t="s">
        <v>1258</v>
      </c>
    </row>
    <row r="194" spans="1:6" ht="36" customHeight="1" x14ac:dyDescent="0.25">
      <c r="A194" s="148" t="s">
        <v>260</v>
      </c>
      <c r="B194" s="120" t="s">
        <v>649</v>
      </c>
      <c r="C194" s="120" t="s">
        <v>1259</v>
      </c>
      <c r="D194" s="120"/>
      <c r="E194" s="120"/>
      <c r="F194" s="121" t="s">
        <v>1258</v>
      </c>
    </row>
    <row r="195" spans="1:6" ht="63.75" customHeight="1" x14ac:dyDescent="0.25">
      <c r="A195" s="148" t="s">
        <v>266</v>
      </c>
      <c r="B195" s="120" t="s">
        <v>650</v>
      </c>
      <c r="C195" s="120" t="s">
        <v>1260</v>
      </c>
      <c r="D195" s="120">
        <v>1158.94</v>
      </c>
      <c r="E195" s="120" t="s">
        <v>23</v>
      </c>
      <c r="F195" s="121" t="s">
        <v>1261</v>
      </c>
    </row>
    <row r="196" spans="1:6" ht="36" customHeight="1" x14ac:dyDescent="0.25">
      <c r="A196" s="148" t="s">
        <v>266</v>
      </c>
      <c r="B196" s="120" t="s">
        <v>650</v>
      </c>
      <c r="C196" s="120" t="s">
        <v>1262</v>
      </c>
      <c r="D196" s="120"/>
      <c r="E196" s="120"/>
      <c r="F196" s="121" t="s">
        <v>1091</v>
      </c>
    </row>
    <row r="197" spans="1:6" ht="49.5" customHeight="1" x14ac:dyDescent="0.25">
      <c r="A197" s="148" t="s">
        <v>270</v>
      </c>
      <c r="B197" s="120" t="s">
        <v>651</v>
      </c>
      <c r="C197" s="120" t="s">
        <v>1263</v>
      </c>
      <c r="D197" s="120">
        <v>366.84</v>
      </c>
      <c r="E197" s="120" t="s">
        <v>23</v>
      </c>
      <c r="F197" s="121" t="s">
        <v>1264</v>
      </c>
    </row>
    <row r="198" spans="1:6" ht="49.5" customHeight="1" x14ac:dyDescent="0.25">
      <c r="A198" s="148" t="s">
        <v>270</v>
      </c>
      <c r="B198" s="120" t="s">
        <v>651</v>
      </c>
      <c r="C198" s="120" t="s">
        <v>1265</v>
      </c>
      <c r="D198" s="120"/>
      <c r="E198" s="120"/>
      <c r="F198" s="121" t="s">
        <v>979</v>
      </c>
    </row>
    <row r="199" spans="1:6" ht="49.5" customHeight="1" x14ac:dyDescent="0.25">
      <c r="A199" s="148" t="s">
        <v>270</v>
      </c>
      <c r="B199" s="120" t="s">
        <v>651</v>
      </c>
      <c r="C199" s="120" t="s">
        <v>1266</v>
      </c>
      <c r="D199" s="120"/>
      <c r="E199" s="120"/>
      <c r="F199" s="121" t="s">
        <v>979</v>
      </c>
    </row>
    <row r="200" spans="1:6" ht="49.5" customHeight="1" x14ac:dyDescent="0.25">
      <c r="A200" s="148" t="s">
        <v>270</v>
      </c>
      <c r="B200" s="120" t="s">
        <v>651</v>
      </c>
      <c r="C200" s="120" t="s">
        <v>1267</v>
      </c>
      <c r="D200" s="120"/>
      <c r="E200" s="120"/>
      <c r="F200" s="121" t="s">
        <v>979</v>
      </c>
    </row>
    <row r="201" spans="1:6" ht="36" customHeight="1" x14ac:dyDescent="0.25">
      <c r="A201" s="148" t="s">
        <v>270</v>
      </c>
      <c r="B201" s="120" t="s">
        <v>651</v>
      </c>
      <c r="C201" s="120" t="s">
        <v>1268</v>
      </c>
      <c r="D201" s="120"/>
      <c r="E201" s="120"/>
      <c r="F201" s="121" t="s">
        <v>1269</v>
      </c>
    </row>
    <row r="202" spans="1:6" ht="36" customHeight="1" x14ac:dyDescent="0.25">
      <c r="A202" s="148" t="s">
        <v>270</v>
      </c>
      <c r="B202" s="120" t="s">
        <v>651</v>
      </c>
      <c r="C202" s="120" t="s">
        <v>1270</v>
      </c>
      <c r="D202" s="120"/>
      <c r="E202" s="120"/>
      <c r="F202" s="121" t="s">
        <v>1271</v>
      </c>
    </row>
    <row r="203" spans="1:6" ht="36" customHeight="1" x14ac:dyDescent="0.25">
      <c r="A203" s="148" t="s">
        <v>270</v>
      </c>
      <c r="B203" s="120" t="s">
        <v>651</v>
      </c>
      <c r="C203" s="120" t="s">
        <v>1272</v>
      </c>
      <c r="D203" s="120"/>
      <c r="E203" s="120"/>
      <c r="F203" s="121" t="s">
        <v>1273</v>
      </c>
    </row>
    <row r="204" spans="1:6" ht="36" customHeight="1" x14ac:dyDescent="0.25">
      <c r="A204" s="148" t="s">
        <v>270</v>
      </c>
      <c r="B204" s="120" t="s">
        <v>651</v>
      </c>
      <c r="C204" s="120" t="s">
        <v>1274</v>
      </c>
      <c r="D204" s="120"/>
      <c r="E204" s="120"/>
      <c r="F204" s="121" t="s">
        <v>1091</v>
      </c>
    </row>
    <row r="205" spans="1:6" ht="36" customHeight="1" x14ac:dyDescent="0.25">
      <c r="A205" s="148" t="s">
        <v>270</v>
      </c>
      <c r="B205" s="120" t="s">
        <v>651</v>
      </c>
      <c r="C205" s="120" t="s">
        <v>1275</v>
      </c>
      <c r="D205" s="120"/>
      <c r="E205" s="120"/>
      <c r="F205" s="121" t="s">
        <v>1276</v>
      </c>
    </row>
    <row r="206" spans="1:6" ht="120" customHeight="1" x14ac:dyDescent="0.25">
      <c r="A206" s="148" t="s">
        <v>286</v>
      </c>
      <c r="B206" s="120" t="s">
        <v>652</v>
      </c>
      <c r="C206" s="120" t="s">
        <v>1277</v>
      </c>
      <c r="D206" s="120">
        <v>6</v>
      </c>
      <c r="E206" s="120" t="s">
        <v>26</v>
      </c>
      <c r="F206" s="121" t="s">
        <v>1278</v>
      </c>
    </row>
    <row r="207" spans="1:6" ht="147.75" customHeight="1" x14ac:dyDescent="0.25">
      <c r="A207" s="148" t="s">
        <v>286</v>
      </c>
      <c r="B207" s="120" t="s">
        <v>652</v>
      </c>
      <c r="C207" s="120" t="s">
        <v>1279</v>
      </c>
      <c r="D207" s="120">
        <v>5</v>
      </c>
      <c r="E207" s="120" t="s">
        <v>26</v>
      </c>
      <c r="F207" s="121" t="s">
        <v>1280</v>
      </c>
    </row>
    <row r="208" spans="1:6" ht="91.5" customHeight="1" x14ac:dyDescent="0.25">
      <c r="A208" s="148" t="s">
        <v>286</v>
      </c>
      <c r="B208" s="120" t="s">
        <v>652</v>
      </c>
      <c r="C208" s="120" t="s">
        <v>1281</v>
      </c>
      <c r="D208" s="120">
        <v>4</v>
      </c>
      <c r="E208" s="120" t="s">
        <v>26</v>
      </c>
      <c r="F208" s="121" t="s">
        <v>1282</v>
      </c>
    </row>
    <row r="209" spans="1:6" ht="49.5" customHeight="1" x14ac:dyDescent="0.25">
      <c r="A209" s="148" t="s">
        <v>286</v>
      </c>
      <c r="B209" s="120" t="s">
        <v>652</v>
      </c>
      <c r="C209" s="120" t="s">
        <v>1283</v>
      </c>
      <c r="D209" s="120">
        <v>2</v>
      </c>
      <c r="E209" s="120" t="s">
        <v>26</v>
      </c>
      <c r="F209" s="121" t="s">
        <v>1284</v>
      </c>
    </row>
    <row r="210" spans="1:6" ht="175.5" customHeight="1" x14ac:dyDescent="0.25">
      <c r="A210" s="148" t="s">
        <v>292</v>
      </c>
      <c r="B210" s="120" t="s">
        <v>653</v>
      </c>
      <c r="C210" s="120" t="s">
        <v>1285</v>
      </c>
      <c r="D210" s="120">
        <v>10</v>
      </c>
      <c r="E210" s="120" t="s">
        <v>26</v>
      </c>
      <c r="F210" s="121" t="s">
        <v>1286</v>
      </c>
    </row>
    <row r="211" spans="1:6" ht="63.75" customHeight="1" x14ac:dyDescent="0.25">
      <c r="A211" s="148" t="s">
        <v>292</v>
      </c>
      <c r="B211" s="120" t="s">
        <v>653</v>
      </c>
      <c r="C211" s="120" t="s">
        <v>1287</v>
      </c>
      <c r="D211" s="120">
        <v>3</v>
      </c>
      <c r="E211" s="120" t="s">
        <v>26</v>
      </c>
      <c r="F211" s="121" t="s">
        <v>1288</v>
      </c>
    </row>
    <row r="212" spans="1:6" ht="49.5" customHeight="1" x14ac:dyDescent="0.25">
      <c r="A212" s="148" t="s">
        <v>292</v>
      </c>
      <c r="B212" s="120" t="s">
        <v>653</v>
      </c>
      <c r="C212" s="120" t="s">
        <v>1289</v>
      </c>
      <c r="D212" s="120">
        <v>2</v>
      </c>
      <c r="E212" s="120" t="s">
        <v>26</v>
      </c>
      <c r="F212" s="121" t="s">
        <v>1290</v>
      </c>
    </row>
    <row r="213" spans="1:6" ht="49.5" customHeight="1" x14ac:dyDescent="0.25">
      <c r="A213" s="148" t="s">
        <v>292</v>
      </c>
      <c r="B213" s="120" t="s">
        <v>653</v>
      </c>
      <c r="C213" s="120" t="s">
        <v>1291</v>
      </c>
      <c r="D213" s="120"/>
      <c r="E213" s="120"/>
      <c r="F213" s="121" t="s">
        <v>1292</v>
      </c>
    </row>
    <row r="214" spans="1:6" ht="49.5" customHeight="1" x14ac:dyDescent="0.25">
      <c r="A214" s="148" t="s">
        <v>292</v>
      </c>
      <c r="B214" s="120" t="s">
        <v>653</v>
      </c>
      <c r="C214" s="120" t="s">
        <v>1293</v>
      </c>
      <c r="D214" s="120"/>
      <c r="E214" s="120"/>
      <c r="F214" s="121" t="s">
        <v>1294</v>
      </c>
    </row>
    <row r="215" spans="1:6" ht="78" customHeight="1" x14ac:dyDescent="0.25">
      <c r="A215" s="148" t="s">
        <v>510</v>
      </c>
      <c r="B215" s="120" t="s">
        <v>1295</v>
      </c>
      <c r="C215" s="120" t="s">
        <v>1296</v>
      </c>
      <c r="D215" s="120"/>
      <c r="E215" s="120"/>
      <c r="F215" s="121" t="s">
        <v>1297</v>
      </c>
    </row>
    <row r="216" spans="1:6" ht="78" customHeight="1" x14ac:dyDescent="0.25">
      <c r="A216" s="148" t="s">
        <v>510</v>
      </c>
      <c r="B216" s="120" t="s">
        <v>1295</v>
      </c>
      <c r="C216" s="120" t="s">
        <v>1298</v>
      </c>
      <c r="D216" s="120"/>
      <c r="E216" s="120"/>
      <c r="F216" s="121" t="s">
        <v>1299</v>
      </c>
    </row>
    <row r="217" spans="1:6" ht="49.5" customHeight="1" x14ac:dyDescent="0.25">
      <c r="A217" s="148" t="s">
        <v>510</v>
      </c>
      <c r="B217" s="120" t="s">
        <v>1295</v>
      </c>
      <c r="C217" s="120" t="s">
        <v>1300</v>
      </c>
      <c r="D217" s="120"/>
      <c r="E217" s="120"/>
      <c r="F217" s="121" t="s">
        <v>983</v>
      </c>
    </row>
    <row r="218" spans="1:6" ht="63.75" customHeight="1" x14ac:dyDescent="0.25">
      <c r="A218" s="148" t="s">
        <v>300</v>
      </c>
      <c r="B218" s="120" t="s">
        <v>654</v>
      </c>
      <c r="C218" s="120" t="s">
        <v>1301</v>
      </c>
      <c r="D218" s="120"/>
      <c r="E218" s="120"/>
      <c r="F218" s="121" t="s">
        <v>1302</v>
      </c>
    </row>
    <row r="219" spans="1:6" ht="36" customHeight="1" x14ac:dyDescent="0.25">
      <c r="A219" s="148" t="s">
        <v>300</v>
      </c>
      <c r="B219" s="120" t="s">
        <v>654</v>
      </c>
      <c r="C219" s="120" t="s">
        <v>1303</v>
      </c>
      <c r="D219" s="120"/>
      <c r="E219" s="120"/>
      <c r="F219" s="121" t="s">
        <v>1304</v>
      </c>
    </row>
    <row r="220" spans="1:6" ht="49.5" customHeight="1" x14ac:dyDescent="0.25">
      <c r="A220" s="148" t="s">
        <v>492</v>
      </c>
      <c r="B220" s="120" t="s">
        <v>1305</v>
      </c>
      <c r="C220" s="120" t="s">
        <v>1306</v>
      </c>
      <c r="D220" s="120"/>
      <c r="E220" s="120"/>
      <c r="F220" s="121" t="s">
        <v>1307</v>
      </c>
    </row>
    <row r="221" spans="1:6" ht="63.75" customHeight="1" x14ac:dyDescent="0.25">
      <c r="A221" s="148" t="s">
        <v>304</v>
      </c>
      <c r="B221" s="120" t="s">
        <v>655</v>
      </c>
      <c r="C221" s="120" t="s">
        <v>1308</v>
      </c>
      <c r="D221" s="120"/>
      <c r="E221" s="120"/>
      <c r="F221" s="121" t="s">
        <v>1309</v>
      </c>
    </row>
    <row r="222" spans="1:6" ht="49.5" customHeight="1" x14ac:dyDescent="0.25">
      <c r="A222" s="148" t="s">
        <v>304</v>
      </c>
      <c r="B222" s="120" t="s">
        <v>655</v>
      </c>
      <c r="C222" s="120" t="s">
        <v>1310</v>
      </c>
      <c r="D222" s="120"/>
      <c r="E222" s="120"/>
      <c r="F222" s="121" t="s">
        <v>1311</v>
      </c>
    </row>
    <row r="223" spans="1:6" ht="49.5" customHeight="1" x14ac:dyDescent="0.25">
      <c r="A223" s="148" t="s">
        <v>304</v>
      </c>
      <c r="B223" s="120" t="s">
        <v>655</v>
      </c>
      <c r="C223" s="120" t="s">
        <v>1312</v>
      </c>
      <c r="D223" s="120"/>
      <c r="E223" s="120"/>
      <c r="F223" s="121" t="s">
        <v>1313</v>
      </c>
    </row>
    <row r="224" spans="1:6" ht="36" customHeight="1" x14ac:dyDescent="0.25">
      <c r="A224" s="148" t="s">
        <v>304</v>
      </c>
      <c r="B224" s="120" t="s">
        <v>655</v>
      </c>
      <c r="C224" s="120" t="s">
        <v>1314</v>
      </c>
      <c r="D224" s="120"/>
      <c r="E224" s="120"/>
      <c r="F224" s="121" t="s">
        <v>1122</v>
      </c>
    </row>
    <row r="225" spans="1:6" ht="24" customHeight="1" x14ac:dyDescent="0.25">
      <c r="A225" s="148" t="s">
        <v>304</v>
      </c>
      <c r="B225" s="120" t="s">
        <v>655</v>
      </c>
      <c r="C225" s="120" t="s">
        <v>1315</v>
      </c>
      <c r="D225" s="120"/>
      <c r="E225" s="120"/>
      <c r="F225" s="121" t="s">
        <v>1316</v>
      </c>
    </row>
    <row r="226" spans="1:6" ht="36" customHeight="1" x14ac:dyDescent="0.25">
      <c r="A226" s="148" t="s">
        <v>304</v>
      </c>
      <c r="B226" s="120" t="s">
        <v>655</v>
      </c>
      <c r="C226" s="120" t="s">
        <v>1317</v>
      </c>
      <c r="D226" s="120"/>
      <c r="E226" s="120"/>
      <c r="F226" s="121" t="s">
        <v>1318</v>
      </c>
    </row>
    <row r="227" spans="1:6" ht="49.5" customHeight="1" x14ac:dyDescent="0.25">
      <c r="A227" s="148" t="s">
        <v>304</v>
      </c>
      <c r="B227" s="120" t="s">
        <v>655</v>
      </c>
      <c r="C227" s="120" t="s">
        <v>1319</v>
      </c>
      <c r="D227" s="120"/>
      <c r="E227" s="120"/>
      <c r="F227" s="121" t="s">
        <v>1122</v>
      </c>
    </row>
    <row r="228" spans="1:6" ht="36" customHeight="1" x14ac:dyDescent="0.25">
      <c r="A228" s="148" t="s">
        <v>304</v>
      </c>
      <c r="B228" s="120" t="s">
        <v>655</v>
      </c>
      <c r="C228" s="120" t="s">
        <v>1320</v>
      </c>
      <c r="D228" s="120"/>
      <c r="E228" s="120"/>
      <c r="F228" s="121" t="s">
        <v>1321</v>
      </c>
    </row>
    <row r="229" spans="1:6" ht="36" customHeight="1" x14ac:dyDescent="0.25">
      <c r="A229" s="148" t="s">
        <v>304</v>
      </c>
      <c r="B229" s="120" t="s">
        <v>655</v>
      </c>
      <c r="C229" s="120" t="s">
        <v>1322</v>
      </c>
      <c r="D229" s="120"/>
      <c r="E229" s="120"/>
      <c r="F229" s="121" t="s">
        <v>1122</v>
      </c>
    </row>
    <row r="230" spans="1:6" ht="36" customHeight="1" x14ac:dyDescent="0.25">
      <c r="A230" s="148" t="s">
        <v>316</v>
      </c>
      <c r="B230" s="120" t="s">
        <v>657</v>
      </c>
      <c r="C230" s="120" t="s">
        <v>1323</v>
      </c>
      <c r="D230" s="120"/>
      <c r="E230" s="120"/>
      <c r="F230" s="121" t="s">
        <v>979</v>
      </c>
    </row>
    <row r="231" spans="1:6" ht="49.5" customHeight="1" x14ac:dyDescent="0.25">
      <c r="A231" s="148" t="s">
        <v>316</v>
      </c>
      <c r="B231" s="120" t="s">
        <v>657</v>
      </c>
      <c r="C231" s="120" t="s">
        <v>1324</v>
      </c>
      <c r="D231" s="120"/>
      <c r="E231" s="120"/>
      <c r="F231" s="121" t="s">
        <v>1325</v>
      </c>
    </row>
    <row r="232" spans="1:6" ht="49.5" customHeight="1" x14ac:dyDescent="0.25">
      <c r="A232" s="148" t="s">
        <v>316</v>
      </c>
      <c r="B232" s="120" t="s">
        <v>657</v>
      </c>
      <c r="C232" s="120" t="s">
        <v>1326</v>
      </c>
      <c r="D232" s="120"/>
      <c r="E232" s="120"/>
      <c r="F232" s="121" t="s">
        <v>1327</v>
      </c>
    </row>
    <row r="233" spans="1:6" ht="49.5" customHeight="1" x14ac:dyDescent="0.25">
      <c r="A233" s="148" t="s">
        <v>318</v>
      </c>
      <c r="B233" s="120" t="s">
        <v>657</v>
      </c>
      <c r="C233" s="120" t="s">
        <v>1328</v>
      </c>
      <c r="D233" s="120"/>
      <c r="E233" s="120"/>
      <c r="F233" s="121" t="s">
        <v>1329</v>
      </c>
    </row>
    <row r="234" spans="1:6" ht="36" customHeight="1" x14ac:dyDescent="0.25">
      <c r="A234" s="148" t="s">
        <v>318</v>
      </c>
      <c r="B234" s="120" t="s">
        <v>657</v>
      </c>
      <c r="C234" s="120" t="s">
        <v>1330</v>
      </c>
      <c r="D234" s="120"/>
      <c r="E234" s="120"/>
      <c r="F234" s="121" t="s">
        <v>979</v>
      </c>
    </row>
    <row r="235" spans="1:6" ht="36" customHeight="1" x14ac:dyDescent="0.25">
      <c r="A235" s="148" t="s">
        <v>318</v>
      </c>
      <c r="B235" s="120" t="s">
        <v>657</v>
      </c>
      <c r="C235" s="120" t="s">
        <v>1331</v>
      </c>
      <c r="D235" s="120"/>
      <c r="E235" s="120"/>
      <c r="F235" s="121" t="s">
        <v>1332</v>
      </c>
    </row>
    <row r="236" spans="1:6" ht="49.5" customHeight="1" x14ac:dyDescent="0.25">
      <c r="A236" s="148" t="s">
        <v>318</v>
      </c>
      <c r="B236" s="120" t="s">
        <v>657</v>
      </c>
      <c r="C236" s="120" t="s">
        <v>1333</v>
      </c>
      <c r="D236" s="120"/>
      <c r="E236" s="120"/>
      <c r="F236" s="121" t="s">
        <v>1334</v>
      </c>
    </row>
    <row r="237" spans="1:6" ht="36" customHeight="1" x14ac:dyDescent="0.25">
      <c r="A237" s="148" t="s">
        <v>318</v>
      </c>
      <c r="B237" s="120" t="s">
        <v>657</v>
      </c>
      <c r="C237" s="120" t="s">
        <v>1335</v>
      </c>
      <c r="D237" s="120"/>
      <c r="E237" s="120"/>
      <c r="F237" s="121" t="s">
        <v>1336</v>
      </c>
    </row>
    <row r="238" spans="1:6" ht="49.5" customHeight="1" x14ac:dyDescent="0.25">
      <c r="A238" s="148" t="s">
        <v>321</v>
      </c>
      <c r="B238" s="120" t="s">
        <v>657</v>
      </c>
      <c r="C238" s="120" t="s">
        <v>1337</v>
      </c>
      <c r="D238" s="120"/>
      <c r="E238" s="120"/>
      <c r="F238" s="121" t="s">
        <v>1338</v>
      </c>
    </row>
    <row r="239" spans="1:6" ht="36" customHeight="1" x14ac:dyDescent="0.25">
      <c r="A239" s="148" t="s">
        <v>322</v>
      </c>
      <c r="B239" s="120" t="s">
        <v>657</v>
      </c>
      <c r="C239" s="120" t="s">
        <v>1339</v>
      </c>
      <c r="D239" s="120"/>
      <c r="E239" s="120"/>
      <c r="F239" s="121" t="s">
        <v>1327</v>
      </c>
    </row>
    <row r="240" spans="1:6" ht="63.75" customHeight="1" x14ac:dyDescent="0.25">
      <c r="A240" s="148" t="s">
        <v>323</v>
      </c>
      <c r="B240" s="120" t="s">
        <v>657</v>
      </c>
      <c r="C240" s="120" t="s">
        <v>1340</v>
      </c>
      <c r="D240" s="120">
        <v>1</v>
      </c>
      <c r="E240" s="120" t="s">
        <v>26</v>
      </c>
      <c r="F240" s="121" t="s">
        <v>1341</v>
      </c>
    </row>
    <row r="241" spans="1:6" ht="63.75" customHeight="1" x14ac:dyDescent="0.25">
      <c r="A241" s="148" t="s">
        <v>323</v>
      </c>
      <c r="B241" s="120" t="s">
        <v>657</v>
      </c>
      <c r="C241" s="120" t="s">
        <v>1342</v>
      </c>
      <c r="D241" s="120">
        <v>1</v>
      </c>
      <c r="E241" s="120" t="s">
        <v>26</v>
      </c>
      <c r="F241" s="121" t="s">
        <v>1343</v>
      </c>
    </row>
    <row r="242" spans="1:6" ht="63.75" customHeight="1" x14ac:dyDescent="0.25">
      <c r="A242" s="148" t="s">
        <v>323</v>
      </c>
      <c r="B242" s="120" t="s">
        <v>657</v>
      </c>
      <c r="C242" s="120" t="s">
        <v>1344</v>
      </c>
      <c r="D242" s="120">
        <v>1</v>
      </c>
      <c r="E242" s="120" t="s">
        <v>26</v>
      </c>
      <c r="F242" s="121" t="s">
        <v>1345</v>
      </c>
    </row>
    <row r="243" spans="1:6" ht="49.5" customHeight="1" x14ac:dyDescent="0.25">
      <c r="A243" s="148" t="s">
        <v>323</v>
      </c>
      <c r="B243" s="120" t="s">
        <v>657</v>
      </c>
      <c r="C243" s="120" t="s">
        <v>1346</v>
      </c>
      <c r="D243" s="120"/>
      <c r="E243" s="120"/>
      <c r="F243" s="121" t="s">
        <v>1347</v>
      </c>
    </row>
    <row r="244" spans="1:6" ht="49.5" customHeight="1" x14ac:dyDescent="0.25">
      <c r="A244" s="148" t="s">
        <v>327</v>
      </c>
      <c r="B244" s="120" t="s">
        <v>657</v>
      </c>
      <c r="C244" s="120" t="s">
        <v>1348</v>
      </c>
      <c r="D244" s="120"/>
      <c r="E244" s="120"/>
      <c r="F244" s="121" t="s">
        <v>1349</v>
      </c>
    </row>
    <row r="245" spans="1:6" ht="36" customHeight="1" x14ac:dyDescent="0.25">
      <c r="A245" s="148" t="s">
        <v>327</v>
      </c>
      <c r="B245" s="120" t="s">
        <v>657</v>
      </c>
      <c r="C245" s="120" t="s">
        <v>1350</v>
      </c>
      <c r="D245" s="120"/>
      <c r="E245" s="120"/>
      <c r="F245" s="121" t="s">
        <v>1292</v>
      </c>
    </row>
    <row r="246" spans="1:6" ht="78" customHeight="1" x14ac:dyDescent="0.25">
      <c r="A246" s="148" t="s">
        <v>339</v>
      </c>
      <c r="B246" s="120" t="s">
        <v>338</v>
      </c>
      <c r="C246" s="120" t="s">
        <v>1351</v>
      </c>
      <c r="D246" s="120"/>
      <c r="E246" s="120"/>
      <c r="F246" s="121" t="s">
        <v>1352</v>
      </c>
    </row>
    <row r="247" spans="1:6" ht="63.75" customHeight="1" x14ac:dyDescent="0.25">
      <c r="A247" s="148" t="s">
        <v>339</v>
      </c>
      <c r="B247" s="120" t="s">
        <v>338</v>
      </c>
      <c r="C247" s="120" t="s">
        <v>1353</v>
      </c>
      <c r="D247" s="120"/>
      <c r="E247" s="120"/>
      <c r="F247" s="121" t="s">
        <v>1354</v>
      </c>
    </row>
    <row r="248" spans="1:6" ht="36" customHeight="1" x14ac:dyDescent="0.25">
      <c r="A248" s="148" t="s">
        <v>339</v>
      </c>
      <c r="B248" s="120" t="s">
        <v>338</v>
      </c>
      <c r="C248" s="120" t="s">
        <v>1355</v>
      </c>
      <c r="D248" s="120"/>
      <c r="E248" s="120"/>
      <c r="F248" s="121" t="s">
        <v>1356</v>
      </c>
    </row>
    <row r="249" spans="1:6" ht="24" customHeight="1" x14ac:dyDescent="0.25">
      <c r="A249" s="148" t="s">
        <v>339</v>
      </c>
      <c r="B249" s="120" t="s">
        <v>338</v>
      </c>
      <c r="C249" s="120" t="s">
        <v>1357</v>
      </c>
      <c r="D249" s="120"/>
      <c r="E249" s="120"/>
      <c r="F249" s="121" t="s">
        <v>1347</v>
      </c>
    </row>
    <row r="250" spans="1:6" ht="36" customHeight="1" x14ac:dyDescent="0.25">
      <c r="A250" s="148" t="s">
        <v>339</v>
      </c>
      <c r="B250" s="120" t="s">
        <v>338</v>
      </c>
      <c r="C250" s="120" t="s">
        <v>1358</v>
      </c>
      <c r="D250" s="120"/>
      <c r="E250" s="120"/>
      <c r="F250" s="121" t="s">
        <v>1292</v>
      </c>
    </row>
    <row r="251" spans="1:6" ht="63.75" customHeight="1" x14ac:dyDescent="0.25">
      <c r="A251" s="148" t="s">
        <v>340</v>
      </c>
      <c r="B251" s="120" t="s">
        <v>338</v>
      </c>
      <c r="C251" s="120" t="s">
        <v>1359</v>
      </c>
      <c r="D251" s="120"/>
      <c r="E251" s="120"/>
      <c r="F251" s="121" t="s">
        <v>1360</v>
      </c>
    </row>
    <row r="252" spans="1:6" ht="36" customHeight="1" x14ac:dyDescent="0.25">
      <c r="A252" s="148" t="s">
        <v>340</v>
      </c>
      <c r="B252" s="120" t="s">
        <v>338</v>
      </c>
      <c r="C252" s="120" t="s">
        <v>1361</v>
      </c>
      <c r="D252" s="120"/>
      <c r="E252" s="120"/>
      <c r="F252" s="121" t="s">
        <v>1362</v>
      </c>
    </row>
    <row r="253" spans="1:6" ht="49.5" customHeight="1" x14ac:dyDescent="0.25">
      <c r="A253" s="148" t="s">
        <v>340</v>
      </c>
      <c r="B253" s="120" t="s">
        <v>338</v>
      </c>
      <c r="C253" s="120" t="s">
        <v>1363</v>
      </c>
      <c r="D253" s="120"/>
      <c r="E253" s="120"/>
      <c r="F253" s="121" t="s">
        <v>1364</v>
      </c>
    </row>
    <row r="254" spans="1:6" ht="36" customHeight="1" x14ac:dyDescent="0.25">
      <c r="A254" s="148" t="s">
        <v>340</v>
      </c>
      <c r="B254" s="120" t="s">
        <v>338</v>
      </c>
      <c r="C254" s="120" t="s">
        <v>1365</v>
      </c>
      <c r="D254" s="120"/>
      <c r="E254" s="120"/>
      <c r="F254" s="121" t="s">
        <v>979</v>
      </c>
    </row>
    <row r="255" spans="1:6" ht="36" customHeight="1" x14ac:dyDescent="0.25">
      <c r="A255" s="148" t="s">
        <v>340</v>
      </c>
      <c r="B255" s="120" t="s">
        <v>338</v>
      </c>
      <c r="C255" s="120" t="s">
        <v>1366</v>
      </c>
      <c r="D255" s="120"/>
      <c r="E255" s="120"/>
      <c r="F255" s="121" t="s">
        <v>1367</v>
      </c>
    </row>
    <row r="256" spans="1:6" ht="36" customHeight="1" x14ac:dyDescent="0.25">
      <c r="A256" s="148" t="s">
        <v>340</v>
      </c>
      <c r="B256" s="120" t="s">
        <v>338</v>
      </c>
      <c r="C256" s="120" t="s">
        <v>1368</v>
      </c>
      <c r="D256" s="120"/>
      <c r="E256" s="120"/>
      <c r="F256" s="121" t="s">
        <v>1369</v>
      </c>
    </row>
    <row r="257" spans="1:6" ht="49.5" customHeight="1" x14ac:dyDescent="0.25">
      <c r="A257" s="148" t="s">
        <v>348</v>
      </c>
      <c r="B257" s="120" t="s">
        <v>659</v>
      </c>
      <c r="C257" s="120" t="s">
        <v>1370</v>
      </c>
      <c r="D257" s="120">
        <v>3</v>
      </c>
      <c r="E257" s="120" t="s">
        <v>26</v>
      </c>
      <c r="F257" s="121" t="s">
        <v>1371</v>
      </c>
    </row>
    <row r="258" spans="1:6" ht="36" customHeight="1" x14ac:dyDescent="0.25">
      <c r="A258" s="148" t="s">
        <v>348</v>
      </c>
      <c r="B258" s="120" t="s">
        <v>659</v>
      </c>
      <c r="C258" s="120" t="s">
        <v>1372</v>
      </c>
      <c r="D258" s="120"/>
      <c r="E258" s="120"/>
      <c r="F258" s="121" t="s">
        <v>1373</v>
      </c>
    </row>
    <row r="259" spans="1:6" ht="63.75" customHeight="1" x14ac:dyDescent="0.25">
      <c r="A259" s="148" t="s">
        <v>348</v>
      </c>
      <c r="B259" s="120" t="s">
        <v>659</v>
      </c>
      <c r="C259" s="120" t="s">
        <v>1374</v>
      </c>
      <c r="D259" s="120"/>
      <c r="E259" s="120"/>
      <c r="F259" s="121" t="s">
        <v>1375</v>
      </c>
    </row>
    <row r="260" spans="1:6" ht="49.5" customHeight="1" x14ac:dyDescent="0.25">
      <c r="A260" s="148" t="s">
        <v>348</v>
      </c>
      <c r="B260" s="120" t="s">
        <v>659</v>
      </c>
      <c r="C260" s="120" t="s">
        <v>1376</v>
      </c>
      <c r="D260" s="120"/>
      <c r="E260" s="120"/>
      <c r="F260" s="121" t="s">
        <v>1377</v>
      </c>
    </row>
    <row r="261" spans="1:6" ht="36" customHeight="1" x14ac:dyDescent="0.25">
      <c r="A261" s="148" t="s">
        <v>348</v>
      </c>
      <c r="B261" s="120" t="s">
        <v>659</v>
      </c>
      <c r="C261" s="120" t="s">
        <v>1378</v>
      </c>
      <c r="D261" s="120"/>
      <c r="E261" s="120"/>
      <c r="F261" s="121" t="s">
        <v>1379</v>
      </c>
    </row>
    <row r="262" spans="1:6" ht="36" customHeight="1" x14ac:dyDescent="0.25">
      <c r="A262" s="148" t="s">
        <v>351</v>
      </c>
      <c r="B262" s="120" t="s">
        <v>661</v>
      </c>
      <c r="C262" s="120" t="s">
        <v>1380</v>
      </c>
      <c r="D262" s="120"/>
      <c r="E262" s="120"/>
      <c r="F262" s="121" t="s">
        <v>1381</v>
      </c>
    </row>
    <row r="263" spans="1:6" ht="49.5" customHeight="1" x14ac:dyDescent="0.25">
      <c r="A263" s="148" t="s">
        <v>351</v>
      </c>
      <c r="B263" s="120" t="s">
        <v>661</v>
      </c>
      <c r="C263" s="120" t="s">
        <v>1382</v>
      </c>
      <c r="D263" s="120"/>
      <c r="E263" s="120"/>
      <c r="F263" s="121" t="s">
        <v>1383</v>
      </c>
    </row>
    <row r="264" spans="1:6" ht="49.5" customHeight="1" x14ac:dyDescent="0.25">
      <c r="A264" s="148" t="s">
        <v>351</v>
      </c>
      <c r="B264" s="120" t="s">
        <v>661</v>
      </c>
      <c r="C264" s="120" t="s">
        <v>1384</v>
      </c>
      <c r="D264" s="120"/>
      <c r="E264" s="120"/>
      <c r="F264" s="121" t="s">
        <v>979</v>
      </c>
    </row>
    <row r="265" spans="1:6" ht="49.5" customHeight="1" x14ac:dyDescent="0.25">
      <c r="A265" s="148" t="s">
        <v>351</v>
      </c>
      <c r="B265" s="120" t="s">
        <v>661</v>
      </c>
      <c r="C265" s="120" t="s">
        <v>1385</v>
      </c>
      <c r="D265" s="120"/>
      <c r="E265" s="120"/>
      <c r="F265" s="121" t="s">
        <v>1386</v>
      </c>
    </row>
    <row r="266" spans="1:6" ht="63.75" customHeight="1" x14ac:dyDescent="0.25">
      <c r="A266" s="148" t="s">
        <v>351</v>
      </c>
      <c r="B266" s="120" t="s">
        <v>661</v>
      </c>
      <c r="C266" s="120" t="s">
        <v>1387</v>
      </c>
      <c r="D266" s="120"/>
      <c r="E266" s="120"/>
      <c r="F266" s="121" t="s">
        <v>1388</v>
      </c>
    </row>
    <row r="267" spans="1:6" ht="49.5" customHeight="1" x14ac:dyDescent="0.25">
      <c r="A267" s="148" t="s">
        <v>351</v>
      </c>
      <c r="B267" s="120" t="s">
        <v>661</v>
      </c>
      <c r="C267" s="120" t="s">
        <v>1389</v>
      </c>
      <c r="D267" s="120">
        <v>2</v>
      </c>
      <c r="E267" s="120" t="s">
        <v>26</v>
      </c>
      <c r="F267" s="121" t="s">
        <v>1390</v>
      </c>
    </row>
    <row r="268" spans="1:6" ht="49.5" customHeight="1" x14ac:dyDescent="0.25">
      <c r="A268" s="148" t="s">
        <v>351</v>
      </c>
      <c r="B268" s="120" t="s">
        <v>661</v>
      </c>
      <c r="C268" s="120" t="s">
        <v>1391</v>
      </c>
      <c r="D268" s="120">
        <v>16</v>
      </c>
      <c r="E268" s="120" t="s">
        <v>26</v>
      </c>
      <c r="F268" s="121" t="s">
        <v>1392</v>
      </c>
    </row>
    <row r="269" spans="1:6" ht="36" customHeight="1" x14ac:dyDescent="0.25">
      <c r="A269" s="148" t="s">
        <v>351</v>
      </c>
      <c r="B269" s="120" t="s">
        <v>661</v>
      </c>
      <c r="C269" s="120" t="s">
        <v>1393</v>
      </c>
      <c r="D269" s="120"/>
      <c r="E269" s="120"/>
      <c r="F269" s="121" t="s">
        <v>1394</v>
      </c>
    </row>
    <row r="270" spans="1:6" ht="63.75" customHeight="1" x14ac:dyDescent="0.25">
      <c r="A270" s="148" t="s">
        <v>351</v>
      </c>
      <c r="B270" s="120" t="s">
        <v>661</v>
      </c>
      <c r="C270" s="120" t="s">
        <v>1395</v>
      </c>
      <c r="D270" s="120">
        <v>6</v>
      </c>
      <c r="E270" s="120" t="s">
        <v>26</v>
      </c>
      <c r="F270" s="121" t="s">
        <v>1396</v>
      </c>
    </row>
    <row r="271" spans="1:6" ht="36" customHeight="1" x14ac:dyDescent="0.25">
      <c r="A271" s="148" t="s">
        <v>351</v>
      </c>
      <c r="B271" s="120" t="s">
        <v>661</v>
      </c>
      <c r="C271" s="120" t="s">
        <v>1397</v>
      </c>
      <c r="D271" s="120"/>
      <c r="E271" s="120"/>
      <c r="F271" s="121" t="s">
        <v>1398</v>
      </c>
    </row>
    <row r="272" spans="1:6" ht="36" customHeight="1" x14ac:dyDescent="0.25">
      <c r="A272" s="148" t="s">
        <v>360</v>
      </c>
      <c r="B272" s="120" t="s">
        <v>661</v>
      </c>
      <c r="C272" s="120" t="s">
        <v>1399</v>
      </c>
      <c r="D272" s="120"/>
      <c r="E272" s="120"/>
      <c r="F272" s="121" t="s">
        <v>1400</v>
      </c>
    </row>
    <row r="273" spans="1:6" ht="49.5" customHeight="1" x14ac:dyDescent="0.25">
      <c r="A273" s="148" t="s">
        <v>360</v>
      </c>
      <c r="B273" s="120" t="s">
        <v>661</v>
      </c>
      <c r="C273" s="120" t="s">
        <v>1401</v>
      </c>
      <c r="D273" s="120"/>
      <c r="E273" s="120"/>
      <c r="F273" s="121" t="s">
        <v>1402</v>
      </c>
    </row>
    <row r="274" spans="1:6" ht="63.75" customHeight="1" x14ac:dyDescent="0.25">
      <c r="A274" s="148" t="s">
        <v>360</v>
      </c>
      <c r="B274" s="120" t="s">
        <v>661</v>
      </c>
      <c r="C274" s="120" t="s">
        <v>1403</v>
      </c>
      <c r="D274" s="120">
        <v>45</v>
      </c>
      <c r="E274" s="120" t="s">
        <v>26</v>
      </c>
      <c r="F274" s="121" t="s">
        <v>1404</v>
      </c>
    </row>
    <row r="275" spans="1:6" ht="49.5" customHeight="1" x14ac:dyDescent="0.25">
      <c r="A275" s="148" t="s">
        <v>360</v>
      </c>
      <c r="B275" s="120" t="s">
        <v>661</v>
      </c>
      <c r="C275" s="120" t="s">
        <v>1405</v>
      </c>
      <c r="D275" s="120"/>
      <c r="E275" s="120"/>
      <c r="F275" s="121" t="s">
        <v>1406</v>
      </c>
    </row>
    <row r="276" spans="1:6" ht="36" customHeight="1" x14ac:dyDescent="0.25">
      <c r="A276" s="148" t="s">
        <v>360</v>
      </c>
      <c r="B276" s="120" t="s">
        <v>661</v>
      </c>
      <c r="C276" s="120" t="s">
        <v>1407</v>
      </c>
      <c r="D276" s="120"/>
      <c r="E276" s="120"/>
      <c r="F276" s="121" t="s">
        <v>1408</v>
      </c>
    </row>
    <row r="277" spans="1:6" ht="91.5" customHeight="1" x14ac:dyDescent="0.25">
      <c r="A277" s="148" t="s">
        <v>360</v>
      </c>
      <c r="B277" s="120" t="s">
        <v>661</v>
      </c>
      <c r="C277" s="120" t="s">
        <v>1409</v>
      </c>
      <c r="D277" s="120">
        <v>4</v>
      </c>
      <c r="E277" s="120" t="s">
        <v>26</v>
      </c>
      <c r="F277" s="121" t="s">
        <v>1410</v>
      </c>
    </row>
    <row r="278" spans="1:6" ht="49.5" customHeight="1" x14ac:dyDescent="0.25">
      <c r="A278" s="148" t="s">
        <v>360</v>
      </c>
      <c r="B278" s="120" t="s">
        <v>661</v>
      </c>
      <c r="C278" s="120" t="s">
        <v>1411</v>
      </c>
      <c r="D278" s="120"/>
      <c r="E278" s="120"/>
      <c r="F278" s="121" t="s">
        <v>1412</v>
      </c>
    </row>
    <row r="279" spans="1:6" ht="49.5" customHeight="1" x14ac:dyDescent="0.25">
      <c r="A279" s="148" t="s">
        <v>360</v>
      </c>
      <c r="B279" s="120" t="s">
        <v>661</v>
      </c>
      <c r="C279" s="120" t="s">
        <v>1413</v>
      </c>
      <c r="D279" s="120"/>
      <c r="E279" s="120"/>
      <c r="F279" s="121" t="s">
        <v>1414</v>
      </c>
    </row>
    <row r="280" spans="1:6" ht="49.5" customHeight="1" x14ac:dyDescent="0.25">
      <c r="A280" s="148" t="s">
        <v>369</v>
      </c>
      <c r="B280" s="120" t="s">
        <v>661</v>
      </c>
      <c r="C280" s="120" t="s">
        <v>1415</v>
      </c>
      <c r="D280" s="120"/>
      <c r="E280" s="120"/>
      <c r="F280" s="121" t="s">
        <v>1416</v>
      </c>
    </row>
    <row r="281" spans="1:6" ht="36" customHeight="1" x14ac:dyDescent="0.25">
      <c r="A281" s="148" t="s">
        <v>369</v>
      </c>
      <c r="B281" s="120" t="s">
        <v>661</v>
      </c>
      <c r="C281" s="120" t="s">
        <v>1417</v>
      </c>
      <c r="D281" s="120"/>
      <c r="E281" s="120"/>
      <c r="F281" s="121" t="s">
        <v>1418</v>
      </c>
    </row>
    <row r="282" spans="1:6" ht="49.5" customHeight="1" x14ac:dyDescent="0.25">
      <c r="A282" s="148" t="s">
        <v>372</v>
      </c>
      <c r="B282" s="120" t="s">
        <v>661</v>
      </c>
      <c r="C282" s="120" t="s">
        <v>1419</v>
      </c>
      <c r="D282" s="120"/>
      <c r="E282" s="120"/>
      <c r="F282" s="121" t="s">
        <v>1420</v>
      </c>
    </row>
    <row r="283" spans="1:6" ht="49.5" customHeight="1" x14ac:dyDescent="0.25">
      <c r="A283" s="148" t="s">
        <v>372</v>
      </c>
      <c r="B283" s="120" t="s">
        <v>661</v>
      </c>
      <c r="C283" s="120" t="s">
        <v>1421</v>
      </c>
      <c r="D283" s="120">
        <v>1</v>
      </c>
      <c r="E283" s="120" t="s">
        <v>26</v>
      </c>
      <c r="F283" s="121" t="s">
        <v>1422</v>
      </c>
    </row>
    <row r="284" spans="1:6" ht="49.5" customHeight="1" x14ac:dyDescent="0.25">
      <c r="A284" s="148" t="s">
        <v>375</v>
      </c>
      <c r="B284" s="120" t="s">
        <v>661</v>
      </c>
      <c r="C284" s="120" t="s">
        <v>1423</v>
      </c>
      <c r="D284" s="120"/>
      <c r="E284" s="120"/>
      <c r="F284" s="121" t="s">
        <v>1424</v>
      </c>
    </row>
    <row r="285" spans="1:6" ht="63.75" customHeight="1" x14ac:dyDescent="0.25">
      <c r="A285" s="148" t="s">
        <v>375</v>
      </c>
      <c r="B285" s="120" t="s">
        <v>661</v>
      </c>
      <c r="C285" s="120" t="s">
        <v>1425</v>
      </c>
      <c r="D285" s="120">
        <v>9</v>
      </c>
      <c r="E285" s="120" t="s">
        <v>26</v>
      </c>
      <c r="F285" s="121" t="s">
        <v>1426</v>
      </c>
    </row>
    <row r="286" spans="1:6" ht="49.5" customHeight="1" x14ac:dyDescent="0.25">
      <c r="A286" s="148" t="s">
        <v>375</v>
      </c>
      <c r="B286" s="120" t="s">
        <v>661</v>
      </c>
      <c r="C286" s="120" t="s">
        <v>1427</v>
      </c>
      <c r="D286" s="120">
        <v>39</v>
      </c>
      <c r="E286" s="120" t="s">
        <v>26</v>
      </c>
      <c r="F286" s="121" t="s">
        <v>1428</v>
      </c>
    </row>
    <row r="287" spans="1:6" ht="49.5" customHeight="1" x14ac:dyDescent="0.25">
      <c r="A287" s="148" t="s">
        <v>375</v>
      </c>
      <c r="B287" s="120" t="s">
        <v>661</v>
      </c>
      <c r="C287" s="120" t="s">
        <v>1429</v>
      </c>
      <c r="D287" s="120"/>
      <c r="E287" s="120"/>
      <c r="F287" s="121" t="s">
        <v>1430</v>
      </c>
    </row>
    <row r="288" spans="1:6" ht="36" customHeight="1" x14ac:dyDescent="0.25">
      <c r="A288" s="148" t="s">
        <v>375</v>
      </c>
      <c r="B288" s="120" t="s">
        <v>661</v>
      </c>
      <c r="C288" s="120" t="s">
        <v>1431</v>
      </c>
      <c r="D288" s="120"/>
      <c r="E288" s="120"/>
      <c r="F288" s="121" t="s">
        <v>1432</v>
      </c>
    </row>
    <row r="289" spans="1:6" ht="63.75" customHeight="1" x14ac:dyDescent="0.25">
      <c r="A289" s="148" t="s">
        <v>383</v>
      </c>
      <c r="B289" s="120" t="s">
        <v>661</v>
      </c>
      <c r="C289" s="120" t="s">
        <v>1433</v>
      </c>
      <c r="D289" s="120"/>
      <c r="E289" s="120"/>
      <c r="F289" s="121" t="s">
        <v>1434</v>
      </c>
    </row>
    <row r="290" spans="1:6" ht="36" customHeight="1" x14ac:dyDescent="0.25">
      <c r="A290" s="148" t="s">
        <v>383</v>
      </c>
      <c r="B290" s="120" t="s">
        <v>661</v>
      </c>
      <c r="C290" s="120" t="s">
        <v>1435</v>
      </c>
      <c r="D290" s="120"/>
      <c r="E290" s="120"/>
      <c r="F290" s="121" t="s">
        <v>1434</v>
      </c>
    </row>
    <row r="291" spans="1:6" ht="49.5" customHeight="1" x14ac:dyDescent="0.25">
      <c r="A291" s="148" t="s">
        <v>383</v>
      </c>
      <c r="B291" s="120" t="s">
        <v>661</v>
      </c>
      <c r="C291" s="120" t="s">
        <v>1436</v>
      </c>
      <c r="D291" s="120">
        <v>9</v>
      </c>
      <c r="E291" s="120" t="s">
        <v>26</v>
      </c>
      <c r="F291" s="121" t="s">
        <v>1437</v>
      </c>
    </row>
    <row r="292" spans="1:6" ht="36" customHeight="1" x14ac:dyDescent="0.25">
      <c r="A292" s="148" t="s">
        <v>383</v>
      </c>
      <c r="B292" s="120" t="s">
        <v>661</v>
      </c>
      <c r="C292" s="120" t="s">
        <v>1438</v>
      </c>
      <c r="D292" s="120"/>
      <c r="E292" s="120" t="s">
        <v>35</v>
      </c>
      <c r="F292" s="121" t="s">
        <v>1439</v>
      </c>
    </row>
    <row r="293" spans="1:6" ht="49.5" customHeight="1" x14ac:dyDescent="0.25">
      <c r="A293" s="148" t="s">
        <v>383</v>
      </c>
      <c r="B293" s="120" t="s">
        <v>661</v>
      </c>
      <c r="C293" s="120" t="s">
        <v>1440</v>
      </c>
      <c r="D293" s="120">
        <v>6</v>
      </c>
      <c r="E293" s="120" t="s">
        <v>26</v>
      </c>
      <c r="F293" s="121" t="s">
        <v>1441</v>
      </c>
    </row>
    <row r="294" spans="1:6" ht="63.75" customHeight="1" x14ac:dyDescent="0.25">
      <c r="A294" s="148" t="s">
        <v>383</v>
      </c>
      <c r="B294" s="120" t="s">
        <v>661</v>
      </c>
      <c r="C294" s="120" t="s">
        <v>1442</v>
      </c>
      <c r="D294" s="120"/>
      <c r="E294" s="120"/>
      <c r="F294" s="121" t="s">
        <v>1443</v>
      </c>
    </row>
    <row r="295" spans="1:6" ht="24" customHeight="1" x14ac:dyDescent="0.25">
      <c r="A295" s="148" t="s">
        <v>383</v>
      </c>
      <c r="B295" s="120" t="s">
        <v>661</v>
      </c>
      <c r="C295" s="120" t="s">
        <v>1444</v>
      </c>
      <c r="D295" s="120"/>
      <c r="E295" s="120"/>
      <c r="F295" s="121" t="s">
        <v>1443</v>
      </c>
    </row>
    <row r="296" spans="1:6" ht="36" customHeight="1" x14ac:dyDescent="0.25">
      <c r="A296" s="148" t="s">
        <v>383</v>
      </c>
      <c r="B296" s="120" t="s">
        <v>661</v>
      </c>
      <c r="C296" s="120" t="s">
        <v>1445</v>
      </c>
      <c r="D296" s="120">
        <v>4</v>
      </c>
      <c r="E296" s="120" t="s">
        <v>26</v>
      </c>
      <c r="F296" s="121" t="s">
        <v>1446</v>
      </c>
    </row>
    <row r="297" spans="1:6" ht="36" customHeight="1" x14ac:dyDescent="0.25">
      <c r="A297" s="148" t="s">
        <v>383</v>
      </c>
      <c r="B297" s="120" t="s">
        <v>661</v>
      </c>
      <c r="C297" s="120" t="s">
        <v>1447</v>
      </c>
      <c r="D297" s="120"/>
      <c r="E297" s="120" t="s">
        <v>35</v>
      </c>
      <c r="F297" s="121" t="s">
        <v>1448</v>
      </c>
    </row>
    <row r="298" spans="1:6" ht="49.5" customHeight="1" x14ac:dyDescent="0.25">
      <c r="A298" s="148" t="s">
        <v>383</v>
      </c>
      <c r="B298" s="120" t="s">
        <v>661</v>
      </c>
      <c r="C298" s="120" t="s">
        <v>1449</v>
      </c>
      <c r="D298" s="120"/>
      <c r="E298" s="120"/>
      <c r="F298" s="121" t="s">
        <v>1450</v>
      </c>
    </row>
    <row r="299" spans="1:6" ht="36" customHeight="1" x14ac:dyDescent="0.25">
      <c r="A299" s="148" t="s">
        <v>383</v>
      </c>
      <c r="B299" s="120" t="s">
        <v>661</v>
      </c>
      <c r="C299" s="120" t="s">
        <v>1451</v>
      </c>
      <c r="D299" s="120"/>
      <c r="E299" s="120"/>
      <c r="F299" s="121" t="s">
        <v>1452</v>
      </c>
    </row>
    <row r="300" spans="1:6" ht="24" customHeight="1" x14ac:dyDescent="0.25">
      <c r="A300" s="148" t="s">
        <v>383</v>
      </c>
      <c r="B300" s="120" t="s">
        <v>661</v>
      </c>
      <c r="C300" s="120" t="s">
        <v>1453</v>
      </c>
      <c r="D300" s="120"/>
      <c r="E300" s="120"/>
      <c r="F300" s="121" t="s">
        <v>1452</v>
      </c>
    </row>
    <row r="301" spans="1:6" ht="36" customHeight="1" x14ac:dyDescent="0.25">
      <c r="A301" s="148" t="s">
        <v>383</v>
      </c>
      <c r="B301" s="120" t="s">
        <v>661</v>
      </c>
      <c r="C301" s="120" t="s">
        <v>1454</v>
      </c>
      <c r="D301" s="120"/>
      <c r="E301" s="120"/>
      <c r="F301" s="121" t="s">
        <v>1455</v>
      </c>
    </row>
    <row r="302" spans="1:6" ht="36" customHeight="1" x14ac:dyDescent="0.25">
      <c r="A302" s="148" t="s">
        <v>383</v>
      </c>
      <c r="B302" s="120" t="s">
        <v>661</v>
      </c>
      <c r="C302" s="120" t="s">
        <v>1456</v>
      </c>
      <c r="D302" s="120">
        <v>5</v>
      </c>
      <c r="E302" s="120" t="s">
        <v>26</v>
      </c>
      <c r="F302" s="121" t="s">
        <v>1457</v>
      </c>
    </row>
    <row r="303" spans="1:6" ht="36" customHeight="1" x14ac:dyDescent="0.25">
      <c r="A303" s="148" t="s">
        <v>383</v>
      </c>
      <c r="B303" s="120" t="s">
        <v>661</v>
      </c>
      <c r="C303" s="120" t="s">
        <v>1458</v>
      </c>
      <c r="D303" s="120"/>
      <c r="E303" s="120"/>
      <c r="F303" s="121" t="s">
        <v>1459</v>
      </c>
    </row>
    <row r="304" spans="1:6" ht="24" customHeight="1" x14ac:dyDescent="0.25">
      <c r="A304" s="148" t="s">
        <v>383</v>
      </c>
      <c r="B304" s="120" t="s">
        <v>661</v>
      </c>
      <c r="C304" s="120" t="s">
        <v>1460</v>
      </c>
      <c r="D304" s="120"/>
      <c r="E304" s="120"/>
      <c r="F304" s="121" t="s">
        <v>1461</v>
      </c>
    </row>
    <row r="305" spans="1:6" ht="49.5" customHeight="1" x14ac:dyDescent="0.25">
      <c r="A305" s="148" t="s">
        <v>383</v>
      </c>
      <c r="B305" s="120" t="s">
        <v>661</v>
      </c>
      <c r="C305" s="120" t="s">
        <v>1462</v>
      </c>
      <c r="D305" s="120"/>
      <c r="E305" s="120"/>
      <c r="F305" s="121" t="s">
        <v>1073</v>
      </c>
    </row>
    <row r="306" spans="1:6" ht="36" customHeight="1" x14ac:dyDescent="0.25">
      <c r="A306" s="148" t="s">
        <v>383</v>
      </c>
      <c r="B306" s="120" t="s">
        <v>661</v>
      </c>
      <c r="C306" s="120" t="s">
        <v>1463</v>
      </c>
      <c r="D306" s="120"/>
      <c r="E306" s="120"/>
      <c r="F306" s="121" t="s">
        <v>1464</v>
      </c>
    </row>
    <row r="307" spans="1:6" ht="49.5" customHeight="1" x14ac:dyDescent="0.25">
      <c r="A307" s="148" t="s">
        <v>383</v>
      </c>
      <c r="B307" s="120" t="s">
        <v>661</v>
      </c>
      <c r="C307" s="120" t="s">
        <v>1465</v>
      </c>
      <c r="D307" s="120"/>
      <c r="E307" s="120"/>
      <c r="F307" s="121" t="s">
        <v>1466</v>
      </c>
    </row>
    <row r="308" spans="1:6" ht="49.5" customHeight="1" x14ac:dyDescent="0.25">
      <c r="A308" s="148" t="s">
        <v>402</v>
      </c>
      <c r="B308" s="120" t="s">
        <v>661</v>
      </c>
      <c r="C308" s="120" t="s">
        <v>1467</v>
      </c>
      <c r="D308" s="120">
        <v>38</v>
      </c>
      <c r="E308" s="120" t="s">
        <v>26</v>
      </c>
      <c r="F308" s="121" t="s">
        <v>1468</v>
      </c>
    </row>
    <row r="309" spans="1:6" ht="24" customHeight="1" x14ac:dyDescent="0.25">
      <c r="A309" s="148" t="s">
        <v>402</v>
      </c>
      <c r="B309" s="120" t="s">
        <v>661</v>
      </c>
      <c r="C309" s="120" t="s">
        <v>1469</v>
      </c>
      <c r="D309" s="120"/>
      <c r="E309" s="120"/>
      <c r="F309" s="121" t="s">
        <v>1470</v>
      </c>
    </row>
    <row r="310" spans="1:6" ht="49.5" customHeight="1" x14ac:dyDescent="0.25">
      <c r="A310" s="148" t="s">
        <v>402</v>
      </c>
      <c r="B310" s="120" t="s">
        <v>661</v>
      </c>
      <c r="C310" s="120" t="s">
        <v>1471</v>
      </c>
      <c r="D310" s="120">
        <v>21</v>
      </c>
      <c r="E310" s="120" t="s">
        <v>26</v>
      </c>
      <c r="F310" s="121" t="s">
        <v>1472</v>
      </c>
    </row>
    <row r="311" spans="1:6" ht="36" customHeight="1" x14ac:dyDescent="0.25">
      <c r="A311" s="148" t="s">
        <v>402</v>
      </c>
      <c r="B311" s="120" t="s">
        <v>661</v>
      </c>
      <c r="C311" s="120" t="s">
        <v>1473</v>
      </c>
      <c r="D311" s="120"/>
      <c r="E311" s="120" t="s">
        <v>35</v>
      </c>
      <c r="F311" s="121" t="s">
        <v>1474</v>
      </c>
    </row>
    <row r="312" spans="1:6" ht="49.5" customHeight="1" x14ac:dyDescent="0.25">
      <c r="A312" s="148" t="s">
        <v>402</v>
      </c>
      <c r="B312" s="120" t="s">
        <v>661</v>
      </c>
      <c r="C312" s="120" t="s">
        <v>1475</v>
      </c>
      <c r="D312" s="120">
        <v>2</v>
      </c>
      <c r="E312" s="120" t="s">
        <v>26</v>
      </c>
      <c r="F312" s="121" t="s">
        <v>1476</v>
      </c>
    </row>
    <row r="313" spans="1:6" ht="36" customHeight="1" x14ac:dyDescent="0.25">
      <c r="A313" s="148" t="s">
        <v>383</v>
      </c>
      <c r="B313" s="120" t="s">
        <v>661</v>
      </c>
      <c r="C313" s="120" t="s">
        <v>1477</v>
      </c>
      <c r="D313" s="120">
        <v>8</v>
      </c>
      <c r="E313" s="120" t="s">
        <v>26</v>
      </c>
      <c r="F313" s="121" t="s">
        <v>1478</v>
      </c>
    </row>
    <row r="314" spans="1:6" ht="49.5" customHeight="1" x14ac:dyDescent="0.25">
      <c r="A314" s="148" t="s">
        <v>375</v>
      </c>
      <c r="B314" s="120" t="s">
        <v>661</v>
      </c>
      <c r="C314" s="120" t="s">
        <v>1479</v>
      </c>
      <c r="D314" s="120">
        <v>39</v>
      </c>
      <c r="E314" s="120" t="s">
        <v>26</v>
      </c>
      <c r="F314" s="121" t="s">
        <v>1480</v>
      </c>
    </row>
    <row r="315" spans="1:6" ht="36" customHeight="1" x14ac:dyDescent="0.25">
      <c r="A315" s="148" t="s">
        <v>375</v>
      </c>
      <c r="B315" s="120" t="s">
        <v>661</v>
      </c>
      <c r="C315" s="120" t="s">
        <v>1481</v>
      </c>
      <c r="D315" s="120">
        <v>2</v>
      </c>
      <c r="E315" s="120" t="s">
        <v>26</v>
      </c>
      <c r="F315" s="121" t="s">
        <v>1482</v>
      </c>
    </row>
    <row r="316" spans="1:6" ht="36" customHeight="1" x14ac:dyDescent="0.25">
      <c r="A316" s="148" t="s">
        <v>375</v>
      </c>
      <c r="B316" s="120" t="s">
        <v>661</v>
      </c>
      <c r="C316" s="120" t="s">
        <v>1483</v>
      </c>
      <c r="D316" s="120">
        <v>1</v>
      </c>
      <c r="E316" s="120" t="s">
        <v>26</v>
      </c>
      <c r="F316" s="121" t="s">
        <v>1484</v>
      </c>
    </row>
    <row r="317" spans="1:6" ht="49.5" customHeight="1" x14ac:dyDescent="0.25">
      <c r="A317" s="148" t="s">
        <v>498</v>
      </c>
      <c r="B317" s="120" t="s">
        <v>1485</v>
      </c>
      <c r="C317" s="120" t="s">
        <v>1486</v>
      </c>
      <c r="D317" s="120"/>
      <c r="E317" s="120"/>
      <c r="F317" s="121" t="s">
        <v>1487</v>
      </c>
    </row>
    <row r="318" spans="1:6" ht="24" customHeight="1" x14ac:dyDescent="0.25">
      <c r="A318" s="148" t="s">
        <v>502</v>
      </c>
      <c r="B318" s="120" t="s">
        <v>1485</v>
      </c>
      <c r="C318" s="120" t="s">
        <v>1488</v>
      </c>
      <c r="D318" s="120"/>
      <c r="E318" s="120"/>
      <c r="F318" s="121" t="s">
        <v>1489</v>
      </c>
    </row>
    <row r="319" spans="1:6" ht="24" customHeight="1" x14ac:dyDescent="0.25">
      <c r="A319" s="148" t="s">
        <v>500</v>
      </c>
      <c r="B319" s="120" t="s">
        <v>1485</v>
      </c>
      <c r="C319" s="120" t="s">
        <v>1490</v>
      </c>
      <c r="D319" s="120"/>
      <c r="E319" s="120"/>
      <c r="F319" s="121" t="s">
        <v>1491</v>
      </c>
    </row>
    <row r="320" spans="1:6" ht="49.5" customHeight="1" x14ac:dyDescent="0.25">
      <c r="A320" s="148" t="s">
        <v>412</v>
      </c>
      <c r="B320" s="120" t="s">
        <v>662</v>
      </c>
      <c r="C320" s="120" t="s">
        <v>1492</v>
      </c>
      <c r="D320" s="120"/>
      <c r="E320" s="120"/>
      <c r="F320" s="121" t="s">
        <v>1493</v>
      </c>
    </row>
    <row r="321" spans="1:6" ht="36" customHeight="1" x14ac:dyDescent="0.25">
      <c r="A321" s="148" t="s">
        <v>412</v>
      </c>
      <c r="B321" s="120" t="s">
        <v>662</v>
      </c>
      <c r="C321" s="120" t="s">
        <v>1494</v>
      </c>
      <c r="D321" s="120"/>
      <c r="E321" s="120"/>
      <c r="F321" s="121" t="s">
        <v>1495</v>
      </c>
    </row>
    <row r="322" spans="1:6" ht="49.5" customHeight="1" x14ac:dyDescent="0.25">
      <c r="A322" s="148" t="s">
        <v>412</v>
      </c>
      <c r="B322" s="120" t="s">
        <v>662</v>
      </c>
      <c r="C322" s="120" t="s">
        <v>1496</v>
      </c>
      <c r="D322" s="120"/>
      <c r="E322" s="120"/>
      <c r="F322" s="121" t="s">
        <v>1497</v>
      </c>
    </row>
    <row r="323" spans="1:6" ht="36" customHeight="1" x14ac:dyDescent="0.25">
      <c r="A323" s="148" t="s">
        <v>412</v>
      </c>
      <c r="B323" s="120" t="s">
        <v>662</v>
      </c>
      <c r="C323" s="120" t="s">
        <v>1498</v>
      </c>
      <c r="D323" s="120"/>
      <c r="E323" s="120"/>
      <c r="F323" s="121" t="s">
        <v>1499</v>
      </c>
    </row>
    <row r="324" spans="1:6" ht="49.5" customHeight="1" x14ac:dyDescent="0.25">
      <c r="A324" s="148" t="s">
        <v>417</v>
      </c>
      <c r="B324" s="120" t="s">
        <v>662</v>
      </c>
      <c r="C324" s="120" t="s">
        <v>1500</v>
      </c>
      <c r="D324" s="120">
        <v>835.56</v>
      </c>
      <c r="E324" s="120" t="s">
        <v>21</v>
      </c>
      <c r="F324" s="121" t="s">
        <v>1501</v>
      </c>
    </row>
    <row r="325" spans="1:6" ht="49.5" customHeight="1" x14ac:dyDescent="0.25">
      <c r="A325" s="148" t="s">
        <v>417</v>
      </c>
      <c r="B325" s="120" t="s">
        <v>662</v>
      </c>
      <c r="C325" s="120" t="s">
        <v>1502</v>
      </c>
      <c r="D325" s="120">
        <v>671.85</v>
      </c>
      <c r="E325" s="120" t="s">
        <v>21</v>
      </c>
      <c r="F325" s="121" t="s">
        <v>1503</v>
      </c>
    </row>
    <row r="326" spans="1:6" ht="78" customHeight="1" x14ac:dyDescent="0.25">
      <c r="A326" s="148" t="s">
        <v>417</v>
      </c>
      <c r="B326" s="120" t="s">
        <v>662</v>
      </c>
      <c r="C326" s="120" t="s">
        <v>1504</v>
      </c>
      <c r="D326" s="120">
        <v>12156.94</v>
      </c>
      <c r="E326" s="120" t="s">
        <v>23</v>
      </c>
      <c r="F326" s="121" t="s">
        <v>1505</v>
      </c>
    </row>
    <row r="327" spans="1:6" ht="49.5" customHeight="1" x14ac:dyDescent="0.25">
      <c r="A327" s="148" t="s">
        <v>417</v>
      </c>
      <c r="B327" s="120" t="s">
        <v>662</v>
      </c>
      <c r="C327" s="120" t="s">
        <v>1506</v>
      </c>
      <c r="D327" s="120"/>
      <c r="E327" s="120"/>
      <c r="F327" s="121" t="s">
        <v>1507</v>
      </c>
    </row>
    <row r="328" spans="1:6" ht="36" customHeight="1" x14ac:dyDescent="0.25">
      <c r="A328" s="148" t="s">
        <v>417</v>
      </c>
      <c r="B328" s="120" t="s">
        <v>662</v>
      </c>
      <c r="C328" s="120" t="s">
        <v>1508</v>
      </c>
      <c r="D328" s="120">
        <v>963.63</v>
      </c>
      <c r="E328" s="120" t="s">
        <v>21</v>
      </c>
      <c r="F328" s="121" t="s">
        <v>1509</v>
      </c>
    </row>
    <row r="329" spans="1:6" ht="36" customHeight="1" x14ac:dyDescent="0.25">
      <c r="A329" s="148" t="s">
        <v>417</v>
      </c>
      <c r="B329" s="120" t="s">
        <v>662</v>
      </c>
      <c r="C329" s="120" t="s">
        <v>1510</v>
      </c>
      <c r="D329" s="120">
        <v>1</v>
      </c>
      <c r="E329" s="120" t="s">
        <v>26</v>
      </c>
      <c r="F329" s="121" t="s">
        <v>1511</v>
      </c>
    </row>
    <row r="330" spans="1:6" ht="49.5" customHeight="1" x14ac:dyDescent="0.25">
      <c r="A330" s="148" t="s">
        <v>417</v>
      </c>
      <c r="B330" s="120" t="s">
        <v>662</v>
      </c>
      <c r="C330" s="120" t="s">
        <v>1512</v>
      </c>
      <c r="D330" s="120">
        <v>2</v>
      </c>
      <c r="E330" s="120" t="s">
        <v>26</v>
      </c>
      <c r="F330" s="121" t="s">
        <v>1513</v>
      </c>
    </row>
    <row r="331" spans="1:6" ht="36" customHeight="1" x14ac:dyDescent="0.25">
      <c r="A331" s="148" t="s">
        <v>417</v>
      </c>
      <c r="B331" s="120" t="s">
        <v>662</v>
      </c>
      <c r="C331" s="120" t="s">
        <v>1514</v>
      </c>
      <c r="D331" s="120"/>
      <c r="E331" s="120"/>
      <c r="F331" s="121" t="s">
        <v>1515</v>
      </c>
    </row>
    <row r="332" spans="1:6" ht="49.5" customHeight="1" x14ac:dyDescent="0.25">
      <c r="A332" s="148" t="s">
        <v>417</v>
      </c>
      <c r="B332" s="120" t="s">
        <v>662</v>
      </c>
      <c r="C332" s="120" t="s">
        <v>1516</v>
      </c>
      <c r="D332" s="120">
        <v>261.76</v>
      </c>
      <c r="E332" s="120" t="s">
        <v>23</v>
      </c>
      <c r="F332" s="121" t="s">
        <v>1517</v>
      </c>
    </row>
    <row r="333" spans="1:6" ht="36" customHeight="1" x14ac:dyDescent="0.25">
      <c r="A333" s="148" t="s">
        <v>417</v>
      </c>
      <c r="B333" s="120" t="s">
        <v>662</v>
      </c>
      <c r="C333" s="120" t="s">
        <v>1518</v>
      </c>
      <c r="D333" s="120"/>
      <c r="E333" s="120"/>
      <c r="F333" s="121" t="s">
        <v>1519</v>
      </c>
    </row>
    <row r="334" spans="1:6" ht="36" customHeight="1" x14ac:dyDescent="0.25">
      <c r="A334" s="148" t="s">
        <v>417</v>
      </c>
      <c r="B334" s="120" t="s">
        <v>662</v>
      </c>
      <c r="C334" s="120" t="s">
        <v>1520</v>
      </c>
      <c r="D334" s="120"/>
      <c r="E334" s="120"/>
      <c r="F334" s="121" t="s">
        <v>1521</v>
      </c>
    </row>
    <row r="335" spans="1:6" ht="49.5" customHeight="1" x14ac:dyDescent="0.25">
      <c r="A335" s="148" t="s">
        <v>417</v>
      </c>
      <c r="B335" s="120" t="s">
        <v>662</v>
      </c>
      <c r="C335" s="120" t="s">
        <v>1522</v>
      </c>
      <c r="D335" s="120"/>
      <c r="E335" s="120"/>
      <c r="F335" s="121" t="s">
        <v>1523</v>
      </c>
    </row>
    <row r="336" spans="1:6" ht="63.75" customHeight="1" x14ac:dyDescent="0.25">
      <c r="A336" s="148" t="s">
        <v>417</v>
      </c>
      <c r="B336" s="120" t="s">
        <v>662</v>
      </c>
      <c r="C336" s="120" t="s">
        <v>1524</v>
      </c>
      <c r="D336" s="120"/>
      <c r="E336" s="120"/>
      <c r="F336" s="121" t="s">
        <v>1525</v>
      </c>
    </row>
    <row r="337" spans="1:6" ht="63.75" customHeight="1" x14ac:dyDescent="0.25">
      <c r="A337" s="148" t="s">
        <v>417</v>
      </c>
      <c r="B337" s="120" t="s">
        <v>662</v>
      </c>
      <c r="C337" s="120" t="s">
        <v>1526</v>
      </c>
      <c r="D337" s="120"/>
      <c r="E337" s="120"/>
      <c r="F337" s="121" t="s">
        <v>1527</v>
      </c>
    </row>
    <row r="338" spans="1:6" ht="49.5" customHeight="1" x14ac:dyDescent="0.25">
      <c r="A338" s="148" t="s">
        <v>417</v>
      </c>
      <c r="B338" s="120" t="s">
        <v>662</v>
      </c>
      <c r="C338" s="120" t="s">
        <v>1528</v>
      </c>
      <c r="D338" s="120"/>
      <c r="E338" s="120"/>
      <c r="F338" s="121" t="s">
        <v>1529</v>
      </c>
    </row>
    <row r="339" spans="1:6" ht="49.5" customHeight="1" x14ac:dyDescent="0.25">
      <c r="A339" s="148" t="s">
        <v>432</v>
      </c>
      <c r="B339" s="120" t="s">
        <v>663</v>
      </c>
      <c r="C339" s="120" t="s">
        <v>1530</v>
      </c>
      <c r="D339" s="120"/>
      <c r="E339" s="120"/>
      <c r="F339" s="121" t="s">
        <v>1531</v>
      </c>
    </row>
    <row r="340" spans="1:6" ht="49.5" customHeight="1" x14ac:dyDescent="0.25">
      <c r="A340" s="148" t="s">
        <v>432</v>
      </c>
      <c r="B340" s="120" t="s">
        <v>663</v>
      </c>
      <c r="C340" s="120" t="s">
        <v>1532</v>
      </c>
      <c r="D340" s="120"/>
      <c r="E340" s="120"/>
      <c r="F340" s="121" t="s">
        <v>1533</v>
      </c>
    </row>
    <row r="341" spans="1:6" ht="63.75" customHeight="1" x14ac:dyDescent="0.25">
      <c r="A341" s="148" t="s">
        <v>432</v>
      </c>
      <c r="B341" s="120" t="s">
        <v>663</v>
      </c>
      <c r="C341" s="120" t="s">
        <v>1534</v>
      </c>
      <c r="D341" s="120"/>
      <c r="E341" s="120"/>
      <c r="F341" s="121" t="s">
        <v>1535</v>
      </c>
    </row>
    <row r="342" spans="1:6" ht="49.5" customHeight="1" x14ac:dyDescent="0.25">
      <c r="A342" s="148" t="s">
        <v>432</v>
      </c>
      <c r="B342" s="120" t="s">
        <v>663</v>
      </c>
      <c r="C342" s="120" t="s">
        <v>1536</v>
      </c>
      <c r="D342" s="120"/>
      <c r="E342" s="120"/>
      <c r="F342" s="121" t="s">
        <v>1537</v>
      </c>
    </row>
    <row r="343" spans="1:6" ht="49.5" customHeight="1" x14ac:dyDescent="0.25">
      <c r="A343" s="148" t="s">
        <v>432</v>
      </c>
      <c r="B343" s="120" t="s">
        <v>663</v>
      </c>
      <c r="C343" s="120" t="s">
        <v>1538</v>
      </c>
      <c r="D343" s="120"/>
      <c r="E343" s="120"/>
      <c r="F343" s="121" t="s">
        <v>1539</v>
      </c>
    </row>
    <row r="344" spans="1:6" ht="49.5" customHeight="1" x14ac:dyDescent="0.25">
      <c r="A344" s="148" t="s">
        <v>432</v>
      </c>
      <c r="B344" s="120" t="s">
        <v>663</v>
      </c>
      <c r="C344" s="120" t="s">
        <v>1540</v>
      </c>
      <c r="D344" s="120"/>
      <c r="E344" s="120"/>
      <c r="F344" s="121" t="s">
        <v>1541</v>
      </c>
    </row>
    <row r="345" spans="1:6" ht="49.5" customHeight="1" x14ac:dyDescent="0.25">
      <c r="A345" s="148" t="s">
        <v>432</v>
      </c>
      <c r="B345" s="120" t="s">
        <v>663</v>
      </c>
      <c r="C345" s="120" t="s">
        <v>1542</v>
      </c>
      <c r="D345" s="120"/>
      <c r="E345" s="120"/>
      <c r="F345" s="121" t="s">
        <v>1543</v>
      </c>
    </row>
    <row r="346" spans="1:6" ht="49.5" customHeight="1" x14ac:dyDescent="0.25">
      <c r="A346" s="148" t="s">
        <v>432</v>
      </c>
      <c r="B346" s="120" t="s">
        <v>663</v>
      </c>
      <c r="C346" s="120" t="s">
        <v>1544</v>
      </c>
      <c r="D346" s="120"/>
      <c r="E346" s="120"/>
      <c r="F346" s="121" t="s">
        <v>1545</v>
      </c>
    </row>
    <row r="347" spans="1:6" ht="36" customHeight="1" x14ac:dyDescent="0.25">
      <c r="A347" s="148" t="s">
        <v>432</v>
      </c>
      <c r="B347" s="120" t="s">
        <v>663</v>
      </c>
      <c r="C347" s="120" t="s">
        <v>1546</v>
      </c>
      <c r="D347" s="120"/>
      <c r="E347" s="120"/>
      <c r="F347" s="121" t="s">
        <v>1547</v>
      </c>
    </row>
    <row r="348" spans="1:6" ht="36" customHeight="1" x14ac:dyDescent="0.25">
      <c r="A348" s="148" t="s">
        <v>432</v>
      </c>
      <c r="B348" s="120" t="s">
        <v>663</v>
      </c>
      <c r="C348" s="120" t="s">
        <v>1548</v>
      </c>
      <c r="D348" s="120"/>
      <c r="E348" s="120"/>
      <c r="F348" s="121" t="s">
        <v>1549</v>
      </c>
    </row>
    <row r="349" spans="1:6" ht="49.5" customHeight="1" x14ac:dyDescent="0.25">
      <c r="A349" s="148" t="s">
        <v>432</v>
      </c>
      <c r="B349" s="120" t="s">
        <v>663</v>
      </c>
      <c r="C349" s="120" t="s">
        <v>1550</v>
      </c>
      <c r="D349" s="120"/>
      <c r="E349" s="120"/>
      <c r="F349" s="121" t="s">
        <v>1418</v>
      </c>
    </row>
    <row r="350" spans="1:6" ht="36" customHeight="1" x14ac:dyDescent="0.25">
      <c r="A350" s="148" t="s">
        <v>432</v>
      </c>
      <c r="B350" s="120" t="s">
        <v>663</v>
      </c>
      <c r="C350" s="120" t="s">
        <v>1551</v>
      </c>
      <c r="D350" s="120"/>
      <c r="E350" s="120"/>
      <c r="F350" s="121" t="s">
        <v>1552</v>
      </c>
    </row>
    <row r="351" spans="1:6" ht="49.5" customHeight="1" x14ac:dyDescent="0.25">
      <c r="A351" s="148" t="s">
        <v>432</v>
      </c>
      <c r="B351" s="120" t="s">
        <v>663</v>
      </c>
      <c r="C351" s="120" t="s">
        <v>1553</v>
      </c>
      <c r="D351" s="120"/>
      <c r="E351" s="120"/>
      <c r="F351" s="121" t="s">
        <v>1554</v>
      </c>
    </row>
    <row r="352" spans="1:6" ht="63.75" customHeight="1" x14ac:dyDescent="0.25">
      <c r="A352" s="148" t="s">
        <v>432</v>
      </c>
      <c r="B352" s="120" t="s">
        <v>663</v>
      </c>
      <c r="C352" s="120" t="s">
        <v>1555</v>
      </c>
      <c r="D352" s="120"/>
      <c r="E352" s="120"/>
      <c r="F352" s="121" t="s">
        <v>1556</v>
      </c>
    </row>
    <row r="353" spans="1:6" ht="49.5" customHeight="1" x14ac:dyDescent="0.25">
      <c r="A353" s="148" t="s">
        <v>443</v>
      </c>
      <c r="B353" s="120" t="s">
        <v>663</v>
      </c>
      <c r="C353" s="120" t="s">
        <v>1557</v>
      </c>
      <c r="D353" s="120">
        <v>1365.43</v>
      </c>
      <c r="E353" s="120" t="s">
        <v>23</v>
      </c>
      <c r="F353" s="121" t="s">
        <v>1558</v>
      </c>
    </row>
    <row r="354" spans="1:6" ht="78" customHeight="1" x14ac:dyDescent="0.25">
      <c r="A354" s="148" t="s">
        <v>445</v>
      </c>
      <c r="B354" s="120" t="s">
        <v>663</v>
      </c>
      <c r="C354" s="120" t="s">
        <v>1559</v>
      </c>
      <c r="D354" s="120"/>
      <c r="E354" s="120"/>
      <c r="F354" s="121" t="s">
        <v>1560</v>
      </c>
    </row>
    <row r="355" spans="1:6" ht="91.5" customHeight="1" x14ac:dyDescent="0.25">
      <c r="A355" s="148" t="s">
        <v>447</v>
      </c>
      <c r="B355" s="120" t="s">
        <v>664</v>
      </c>
      <c r="C355" s="120" t="s">
        <v>1561</v>
      </c>
      <c r="D355" s="120">
        <v>8</v>
      </c>
      <c r="E355" s="120" t="s">
        <v>26</v>
      </c>
      <c r="F355" s="121" t="s">
        <v>1562</v>
      </c>
    </row>
    <row r="356" spans="1:6" ht="36" customHeight="1" x14ac:dyDescent="0.25">
      <c r="A356" s="148" t="s">
        <v>447</v>
      </c>
      <c r="B356" s="120" t="s">
        <v>664</v>
      </c>
      <c r="C356" s="120" t="s">
        <v>1563</v>
      </c>
      <c r="D356" s="120"/>
      <c r="E356" s="120" t="s">
        <v>35</v>
      </c>
      <c r="F356" s="121" t="s">
        <v>1564</v>
      </c>
    </row>
    <row r="357" spans="1:6" ht="63.75" customHeight="1" x14ac:dyDescent="0.25">
      <c r="A357" s="148" t="s">
        <v>451</v>
      </c>
      <c r="B357" s="120" t="s">
        <v>666</v>
      </c>
      <c r="C357" s="120" t="s">
        <v>1565</v>
      </c>
      <c r="D357" s="120">
        <v>3359.29</v>
      </c>
      <c r="E357" s="120" t="s">
        <v>23</v>
      </c>
      <c r="F357" s="121" t="s">
        <v>1566</v>
      </c>
    </row>
    <row r="358" spans="1:6" ht="36" customHeight="1" x14ac:dyDescent="0.25">
      <c r="A358" s="148" t="s">
        <v>451</v>
      </c>
      <c r="B358" s="120" t="s">
        <v>666</v>
      </c>
      <c r="C358" s="120" t="s">
        <v>1567</v>
      </c>
      <c r="D358" s="120"/>
      <c r="E358" s="120" t="s">
        <v>35</v>
      </c>
      <c r="F358" s="121" t="s">
        <v>1568</v>
      </c>
    </row>
    <row r="359" spans="1:6" ht="36" customHeight="1" x14ac:dyDescent="0.25">
      <c r="A359" s="148" t="s">
        <v>451</v>
      </c>
      <c r="B359" s="120" t="s">
        <v>666</v>
      </c>
      <c r="C359" s="120" t="s">
        <v>1569</v>
      </c>
      <c r="D359" s="120"/>
      <c r="E359" s="120"/>
      <c r="F359" s="121" t="s">
        <v>1570</v>
      </c>
    </row>
    <row r="360" spans="1:6" ht="78" customHeight="1" x14ac:dyDescent="0.25">
      <c r="A360" s="148" t="s">
        <v>451</v>
      </c>
      <c r="B360" s="120" t="s">
        <v>666</v>
      </c>
      <c r="C360" s="120" t="s">
        <v>1571</v>
      </c>
      <c r="D360" s="120">
        <v>1739.26</v>
      </c>
      <c r="E360" s="120" t="s">
        <v>23</v>
      </c>
      <c r="F360" s="121" t="s">
        <v>1572</v>
      </c>
    </row>
    <row r="361" spans="1:6" ht="24" customHeight="1" x14ac:dyDescent="0.25">
      <c r="A361" s="148" t="s">
        <v>451</v>
      </c>
      <c r="B361" s="120" t="s">
        <v>666</v>
      </c>
      <c r="C361" s="120" t="s">
        <v>1573</v>
      </c>
      <c r="D361" s="120"/>
      <c r="E361" s="120"/>
      <c r="F361" s="121" t="s">
        <v>1574</v>
      </c>
    </row>
    <row r="362" spans="1:6" ht="78" customHeight="1" x14ac:dyDescent="0.25">
      <c r="A362" s="148" t="s">
        <v>451</v>
      </c>
      <c r="B362" s="120" t="s">
        <v>666</v>
      </c>
      <c r="C362" s="120" t="s">
        <v>1575</v>
      </c>
      <c r="D362" s="120">
        <v>10.860099999999999</v>
      </c>
      <c r="E362" s="120" t="s">
        <v>32</v>
      </c>
      <c r="F362" s="121" t="s">
        <v>1576</v>
      </c>
    </row>
    <row r="363" spans="1:6" ht="78" customHeight="1" x14ac:dyDescent="0.25">
      <c r="A363" s="148" t="s">
        <v>455</v>
      </c>
      <c r="B363" s="120" t="s">
        <v>666</v>
      </c>
      <c r="C363" s="120" t="s">
        <v>1577</v>
      </c>
      <c r="D363" s="120">
        <v>30.693300000000001</v>
      </c>
      <c r="E363" s="120" t="s">
        <v>32</v>
      </c>
      <c r="F363" s="121" t="s">
        <v>1578</v>
      </c>
    </row>
    <row r="364" spans="1:6" ht="49.5" customHeight="1" x14ac:dyDescent="0.25">
      <c r="A364" s="148" t="s">
        <v>455</v>
      </c>
      <c r="B364" s="120" t="s">
        <v>666</v>
      </c>
      <c r="C364" s="120" t="s">
        <v>1579</v>
      </c>
      <c r="D364" s="120"/>
      <c r="E364" s="120"/>
      <c r="F364" s="121" t="s">
        <v>1580</v>
      </c>
    </row>
    <row r="365" spans="1:6" ht="36" customHeight="1" x14ac:dyDescent="0.25">
      <c r="A365" s="148" t="s">
        <v>455</v>
      </c>
      <c r="B365" s="120" t="s">
        <v>666</v>
      </c>
      <c r="C365" s="120" t="s">
        <v>1581</v>
      </c>
      <c r="D365" s="120"/>
      <c r="E365" s="120"/>
      <c r="F365" s="121" t="s">
        <v>1582</v>
      </c>
    </row>
    <row r="366" spans="1:6" ht="49.5" customHeight="1" x14ac:dyDescent="0.25">
      <c r="A366" s="148" t="s">
        <v>459</v>
      </c>
      <c r="B366" s="120" t="s">
        <v>667</v>
      </c>
      <c r="C366" s="120" t="s">
        <v>1583</v>
      </c>
      <c r="D366" s="120"/>
      <c r="E366" s="120"/>
      <c r="F366" s="121" t="s">
        <v>1584</v>
      </c>
    </row>
    <row r="367" spans="1:6" ht="49.5" customHeight="1" x14ac:dyDescent="0.25">
      <c r="A367" s="148" t="s">
        <v>461</v>
      </c>
      <c r="B367" s="120" t="s">
        <v>667</v>
      </c>
      <c r="C367" s="120" t="s">
        <v>1585</v>
      </c>
      <c r="D367" s="120"/>
      <c r="E367" s="120"/>
      <c r="F367" s="121" t="s">
        <v>1586</v>
      </c>
    </row>
    <row r="368" spans="1:6" ht="78" customHeight="1" x14ac:dyDescent="0.25">
      <c r="A368" s="148" t="s">
        <v>479</v>
      </c>
      <c r="B368" s="120" t="s">
        <v>667</v>
      </c>
      <c r="C368" s="120" t="s">
        <v>1587</v>
      </c>
      <c r="D368" s="120">
        <v>1</v>
      </c>
      <c r="E368" s="120" t="s">
        <v>19</v>
      </c>
      <c r="F368" s="121" t="s">
        <v>1588</v>
      </c>
    </row>
    <row r="369" spans="1:6" ht="36" customHeight="1" x14ac:dyDescent="0.25">
      <c r="A369" s="148" t="s">
        <v>479</v>
      </c>
      <c r="B369" s="120" t="s">
        <v>667</v>
      </c>
      <c r="C369" s="120" t="s">
        <v>1589</v>
      </c>
      <c r="D369" s="120"/>
      <c r="E369" s="120"/>
      <c r="F369" s="121" t="s">
        <v>1590</v>
      </c>
    </row>
    <row r="370" spans="1:6" ht="49.5" customHeight="1" x14ac:dyDescent="0.25">
      <c r="A370" s="148" t="s">
        <v>479</v>
      </c>
      <c r="B370" s="120" t="s">
        <v>667</v>
      </c>
      <c r="C370" s="120" t="s">
        <v>1591</v>
      </c>
      <c r="D370" s="120"/>
      <c r="E370" s="120" t="s">
        <v>35</v>
      </c>
      <c r="F370" s="121" t="s">
        <v>1592</v>
      </c>
    </row>
    <row r="371" spans="1:6" ht="78" customHeight="1" x14ac:dyDescent="0.25">
      <c r="A371" s="148" t="s">
        <v>479</v>
      </c>
      <c r="B371" s="120" t="s">
        <v>667</v>
      </c>
      <c r="C371" s="120" t="s">
        <v>1593</v>
      </c>
      <c r="D371" s="120">
        <v>6</v>
      </c>
      <c r="E371" s="120" t="s">
        <v>26</v>
      </c>
      <c r="F371" s="121" t="s">
        <v>1594</v>
      </c>
    </row>
    <row r="372" spans="1:6" ht="49.5" customHeight="1" x14ac:dyDescent="0.25">
      <c r="A372" s="148" t="s">
        <v>479</v>
      </c>
      <c r="B372" s="120" t="s">
        <v>667</v>
      </c>
      <c r="C372" s="120" t="s">
        <v>1595</v>
      </c>
      <c r="D372" s="120">
        <v>1</v>
      </c>
      <c r="E372" s="120" t="s">
        <v>26</v>
      </c>
      <c r="F372" s="121" t="s">
        <v>1596</v>
      </c>
    </row>
    <row r="373" spans="1:6" ht="49.5" customHeight="1" x14ac:dyDescent="0.25">
      <c r="A373" s="148" t="s">
        <v>479</v>
      </c>
      <c r="B373" s="120" t="s">
        <v>667</v>
      </c>
      <c r="C373" s="120" t="s">
        <v>1597</v>
      </c>
      <c r="D373" s="120">
        <v>557.98</v>
      </c>
      <c r="E373" s="120" t="s">
        <v>21</v>
      </c>
      <c r="F373" s="121" t="s">
        <v>1598</v>
      </c>
    </row>
    <row r="374" spans="1:6" ht="49.5" customHeight="1" x14ac:dyDescent="0.25">
      <c r="A374" s="148" t="s">
        <v>479</v>
      </c>
      <c r="B374" s="120" t="s">
        <v>667</v>
      </c>
      <c r="C374" s="120" t="s">
        <v>1599</v>
      </c>
      <c r="D374" s="120"/>
      <c r="E374" s="120"/>
      <c r="F374" s="121" t="s">
        <v>1600</v>
      </c>
    </row>
    <row r="375" spans="1:6" ht="49.5" customHeight="1" x14ac:dyDescent="0.25">
      <c r="A375" s="148" t="s">
        <v>479</v>
      </c>
      <c r="B375" s="120" t="s">
        <v>667</v>
      </c>
      <c r="C375" s="120" t="s">
        <v>1601</v>
      </c>
      <c r="D375" s="120"/>
      <c r="E375" s="120"/>
      <c r="F375" s="121" t="s">
        <v>1602</v>
      </c>
    </row>
    <row r="376" spans="1:6" ht="36" customHeight="1" x14ac:dyDescent="0.25">
      <c r="A376" s="149" t="s">
        <v>479</v>
      </c>
      <c r="B376" s="122" t="s">
        <v>667</v>
      </c>
      <c r="C376" s="122" t="s">
        <v>1603</v>
      </c>
      <c r="D376" s="122"/>
      <c r="E376" s="122"/>
      <c r="F376" s="123" t="s">
        <v>1604</v>
      </c>
    </row>
  </sheetData>
  <mergeCells count="1">
    <mergeCell ref="A1:F1"/>
  </mergeCells>
  <pageMargins left="0.75" right="0.75" top="1" bottom="1"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acba2d7-6378-47dd-9061-4af043cb125a" xsi:nil="true"/>
    <lcf76f155ced4ddcb4097134ff3c332f xmlns="7b89ce10-441e-4880-aeb2-38659c00a504">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B92A98251D9D44FBBAC73D08ABB854F" ma:contentTypeVersion="12" ma:contentTypeDescription="Create a new document." ma:contentTypeScope="" ma:versionID="96ec26b83f7ce9d07959fa7f70d9e2d0">
  <xsd:schema xmlns:xsd="http://www.w3.org/2001/XMLSchema" xmlns:xs="http://www.w3.org/2001/XMLSchema" xmlns:p="http://schemas.microsoft.com/office/2006/metadata/properties" xmlns:ns2="7b89ce10-441e-4880-aeb2-38659c00a504" xmlns:ns3="dacba2d7-6378-47dd-9061-4af043cb125a" targetNamespace="http://schemas.microsoft.com/office/2006/metadata/properties" ma:root="true" ma:fieldsID="542cd3b3c3e12d7e7885ef40655f6249" ns2:_="" ns3:_="">
    <xsd:import namespace="7b89ce10-441e-4880-aeb2-38659c00a504"/>
    <xsd:import namespace="dacba2d7-6378-47dd-9061-4af043cb125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89ce10-441e-4880-aeb2-38659c00a50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72026b3-aa95-46d9-affd-50ccce8124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acba2d7-6378-47dd-9061-4af043cb125a"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9926a191-ddbb-47b3-818b-41900e59dc7e}" ma:internalName="TaxCatchAll" ma:showField="CatchAllData" ma:web="dacba2d7-6378-47dd-9061-4af043cb125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17AC059-ABF3-4E03-B0C7-DBE7D76E36F0}">
  <ds:schemaRefs>
    <ds:schemaRef ds:uri="http://schemas.microsoft.com/office/2006/metadata/properties"/>
    <ds:schemaRef ds:uri="http://schemas.microsoft.com/office/infopath/2007/PartnerControls"/>
    <ds:schemaRef ds:uri="dacba2d7-6378-47dd-9061-4af043cb125a"/>
    <ds:schemaRef ds:uri="7b89ce10-441e-4880-aeb2-38659c00a504"/>
  </ds:schemaRefs>
</ds:datastoreItem>
</file>

<file path=customXml/itemProps2.xml><?xml version="1.0" encoding="utf-8"?>
<ds:datastoreItem xmlns:ds="http://schemas.openxmlformats.org/officeDocument/2006/customXml" ds:itemID="{57A11555-9338-421C-B0D4-AD1E6FC4293F}">
  <ds:schemaRefs>
    <ds:schemaRef ds:uri="http://schemas.microsoft.com/sharepoint/v3/contenttype/forms"/>
  </ds:schemaRefs>
</ds:datastoreItem>
</file>

<file path=customXml/itemProps3.xml><?xml version="1.0" encoding="utf-8"?>
<ds:datastoreItem xmlns:ds="http://schemas.openxmlformats.org/officeDocument/2006/customXml" ds:itemID="{A16EAD2B-C3FA-4E43-B18F-8E2F25E080F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b89ce10-441e-4880-aeb2-38659c00a504"/>
    <ds:schemaRef ds:uri="dacba2d7-6378-47dd-9061-4af043cb125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7</vt:i4>
      </vt:variant>
      <vt:variant>
        <vt:lpstr>Named Ranges</vt:lpstr>
      </vt:variant>
      <vt:variant>
        <vt:i4>6</vt:i4>
      </vt:variant>
    </vt:vector>
  </HeadingPairs>
  <TitlesOfParts>
    <vt:vector size="13" baseType="lpstr">
      <vt:lpstr>Estimate</vt:lpstr>
      <vt:lpstr>SOV</vt:lpstr>
      <vt:lpstr>Notes &amp; Clarifications</vt:lpstr>
      <vt:lpstr>General Requirements</vt:lpstr>
      <vt:lpstr>Electrical Pricing Basis</vt:lpstr>
      <vt:lpstr>Estimate Review</vt:lpstr>
      <vt:lpstr>Quantity Basis</vt:lpstr>
      <vt:lpstr>Estimate!Print_Area</vt:lpstr>
      <vt:lpstr>Estimate!Print_Titles</vt:lpstr>
      <vt:lpstr>'Estimate Review'!Print_Titles</vt:lpstr>
      <vt:lpstr>'General Requirements'!Print_Titles</vt:lpstr>
      <vt:lpstr>'Notes &amp; Clarifications'!Print_Titles</vt:lpstr>
      <vt:lpstr>SOV!Print_Titles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Matt Nicosia</cp:lastModifiedBy>
  <cp:revision>1</cp:revision>
  <dcterms:created xsi:type="dcterms:W3CDTF">2026-09-23T21:09:38Z</dcterms:created>
  <dcterms:modified xsi:type="dcterms:W3CDTF">2026-09-30T20:38:29Z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0x010100EB92A98251D9D44FBBAC73D08ABB854F</vt:lpwstr>
  </property>
  <property fmtid="{D5CDD505-2E9C-101B-9397-08002B2CF9AE}" pid="3" name="MediaServiceImageTags">
    <vt:lpwstr/>
  </property>
</Properties>
</file>